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emp\zb\"/>
    </mc:Choice>
  </mc:AlternateContent>
  <xr:revisionPtr revIDLastSave="0" documentId="13_ncr:1_{7F63D425-B7E1-4EFE-9C9B-6D2E49480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频道列表" sheetId="3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7" i="2" l="1"/>
  <c r="C1047" i="2" s="1"/>
  <c r="B1050" i="2"/>
  <c r="C1050" i="2" s="1"/>
  <c r="B1076" i="2"/>
  <c r="D1076" i="2" s="1"/>
  <c r="B1093" i="2"/>
  <c r="C1093" i="2"/>
  <c r="D1093" i="2"/>
  <c r="B416" i="2"/>
  <c r="C416" i="2" s="1"/>
  <c r="B438" i="2"/>
  <c r="C438" i="2" s="1"/>
  <c r="B424" i="2"/>
  <c r="D424" i="2" s="1"/>
  <c r="B429" i="2"/>
  <c r="C429" i="2" s="1"/>
  <c r="B414" i="2"/>
  <c r="C414" i="2" s="1"/>
  <c r="D414" i="2"/>
  <c r="B420" i="2"/>
  <c r="B433" i="2"/>
  <c r="D433" i="2" s="1"/>
  <c r="C433" i="2"/>
  <c r="B407" i="2"/>
  <c r="C407" i="2" s="1"/>
  <c r="B417" i="2"/>
  <c r="C417" i="2" s="1"/>
  <c r="B413" i="2"/>
  <c r="C413" i="2" s="1"/>
  <c r="B11" i="2"/>
  <c r="B12" i="2"/>
  <c r="D12" i="2" s="1"/>
  <c r="B13" i="2"/>
  <c r="B14" i="2"/>
  <c r="C14" i="2" s="1"/>
  <c r="B15" i="2"/>
  <c r="C15" i="2" s="1"/>
  <c r="B16" i="2"/>
  <c r="D16" i="2" s="1"/>
  <c r="B17" i="2"/>
  <c r="B18" i="2"/>
  <c r="C18" i="2" s="1"/>
  <c r="B83" i="2"/>
  <c r="B96" i="2"/>
  <c r="B525" i="2"/>
  <c r="B641" i="2"/>
  <c r="C641" i="2" s="1"/>
  <c r="B817" i="2"/>
  <c r="B831" i="2"/>
  <c r="B941" i="2"/>
  <c r="B1004" i="2"/>
  <c r="D1004" i="2" s="1"/>
  <c r="B1007" i="2"/>
  <c r="C1007" i="2" s="1"/>
  <c r="B1103" i="2"/>
  <c r="C1103" i="2" s="1"/>
  <c r="B1104" i="2"/>
  <c r="D1104" i="2" s="1"/>
  <c r="B1110" i="2"/>
  <c r="C1110" i="2" s="1"/>
  <c r="B1115" i="2"/>
  <c r="B1117" i="2"/>
  <c r="B1119" i="2"/>
  <c r="C1119" i="2" s="1"/>
  <c r="B1125" i="2"/>
  <c r="C1125" i="2"/>
  <c r="D1125" i="2"/>
  <c r="B1136" i="2"/>
  <c r="C1136" i="2" s="1"/>
  <c r="B109" i="2"/>
  <c r="B110" i="2"/>
  <c r="C110" i="2" s="1"/>
  <c r="B112" i="2"/>
  <c r="B1137" i="2"/>
  <c r="C1137" i="2" s="1"/>
  <c r="B1124" i="2"/>
  <c r="D1124" i="2" s="1"/>
  <c r="C1124" i="2"/>
  <c r="B756" i="2"/>
  <c r="C756" i="2" s="1"/>
  <c r="B757" i="2"/>
  <c r="C757" i="2" s="1"/>
  <c r="B758" i="2"/>
  <c r="B759" i="2"/>
  <c r="C759" i="2" s="1"/>
  <c r="D759" i="2"/>
  <c r="B760" i="2"/>
  <c r="D760" i="2" s="1"/>
  <c r="B761" i="2"/>
  <c r="C761" i="2" s="1"/>
  <c r="B762" i="2"/>
  <c r="C762" i="2" s="1"/>
  <c r="B764" i="2"/>
  <c r="B765" i="2"/>
  <c r="B766" i="2"/>
  <c r="B895" i="2"/>
  <c r="B896" i="2"/>
  <c r="D896" i="2" s="1"/>
  <c r="B897" i="2"/>
  <c r="C897" i="2" s="1"/>
  <c r="B899" i="2"/>
  <c r="C899" i="2" s="1"/>
  <c r="B901" i="2"/>
  <c r="C901" i="2" s="1"/>
  <c r="B902" i="2"/>
  <c r="D902" i="2" s="1"/>
  <c r="B903" i="2"/>
  <c r="C903" i="2" s="1"/>
  <c r="B904" i="2"/>
  <c r="D904" i="2" s="1"/>
  <c r="B905" i="2"/>
  <c r="B907" i="2"/>
  <c r="B908" i="2"/>
  <c r="C908" i="2"/>
  <c r="D908" i="2"/>
  <c r="B910" i="2"/>
  <c r="C910" i="2" s="1"/>
  <c r="B911" i="2"/>
  <c r="C911" i="2" s="1"/>
  <c r="B913" i="2"/>
  <c r="D913" i="2" s="1"/>
  <c r="B914" i="2"/>
  <c r="C914" i="2" s="1"/>
  <c r="B915" i="2"/>
  <c r="D915" i="2" s="1"/>
  <c r="B916" i="2"/>
  <c r="B918" i="2"/>
  <c r="D918" i="2" s="1"/>
  <c r="B920" i="2"/>
  <c r="C920" i="2" s="1"/>
  <c r="B921" i="2"/>
  <c r="C921" i="2" s="1"/>
  <c r="B922" i="2"/>
  <c r="C922" i="2" s="1"/>
  <c r="B923" i="2"/>
  <c r="D923" i="2" s="1"/>
  <c r="B924" i="2"/>
  <c r="C924" i="2" s="1"/>
  <c r="B925" i="2"/>
  <c r="B926" i="2"/>
  <c r="B928" i="2"/>
  <c r="B929" i="2"/>
  <c r="B930" i="2"/>
  <c r="C930" i="2" s="1"/>
  <c r="B931" i="2"/>
  <c r="C931" i="2" s="1"/>
  <c r="B934" i="2"/>
  <c r="D934" i="2" s="1"/>
  <c r="B936" i="2"/>
  <c r="B938" i="2"/>
  <c r="C938" i="2"/>
  <c r="D938" i="2"/>
  <c r="B940" i="2"/>
  <c r="B947" i="2"/>
  <c r="D947" i="2" s="1"/>
  <c r="B950" i="2"/>
  <c r="B953" i="2"/>
  <c r="C953" i="2" s="1"/>
  <c r="B955" i="2"/>
  <c r="C955" i="2" s="1"/>
  <c r="B957" i="2"/>
  <c r="D957" i="2" s="1"/>
  <c r="B958" i="2"/>
  <c r="B961" i="2"/>
  <c r="D961" i="2" s="1"/>
  <c r="B963" i="2"/>
  <c r="B966" i="2"/>
  <c r="D966" i="2" s="1"/>
  <c r="B969" i="2"/>
  <c r="C969" i="2" s="1"/>
  <c r="B972" i="2"/>
  <c r="B975" i="2"/>
  <c r="C975" i="2" s="1"/>
  <c r="B978" i="2"/>
  <c r="B1092" i="2"/>
  <c r="C1092" i="2" s="1"/>
  <c r="B495" i="2"/>
  <c r="D495" i="2" s="1"/>
  <c r="B564" i="2"/>
  <c r="D564" i="2" s="1"/>
  <c r="B590" i="2"/>
  <c r="C590" i="2" s="1"/>
  <c r="B591" i="2"/>
  <c r="C591" i="2" s="1"/>
  <c r="B673" i="2"/>
  <c r="C673" i="2" s="1"/>
  <c r="B677" i="2"/>
  <c r="D677" i="2" s="1"/>
  <c r="B680" i="2"/>
  <c r="B697" i="2"/>
  <c r="D697" i="2" s="1"/>
  <c r="B730" i="2"/>
  <c r="C730" i="2" s="1"/>
  <c r="B770" i="2"/>
  <c r="B803" i="2"/>
  <c r="C803" i="2" s="1"/>
  <c r="B805" i="2"/>
  <c r="C805" i="2" s="1"/>
  <c r="B833" i="2"/>
  <c r="C833" i="2" s="1"/>
  <c r="B851" i="2"/>
  <c r="D851" i="2" s="1"/>
  <c r="B944" i="2"/>
  <c r="C944" i="2" s="1"/>
  <c r="B1062" i="2"/>
  <c r="B529" i="2"/>
  <c r="D529" i="2" s="1"/>
  <c r="C529" i="2"/>
  <c r="B538" i="2"/>
  <c r="B582" i="2"/>
  <c r="B624" i="2"/>
  <c r="C624" i="2" s="1"/>
  <c r="B712" i="2"/>
  <c r="C712" i="2" s="1"/>
  <c r="B721" i="2"/>
  <c r="B778" i="2"/>
  <c r="B789" i="2"/>
  <c r="C789" i="2" s="1"/>
  <c r="D789" i="2"/>
  <c r="B854" i="2"/>
  <c r="D854" i="2" s="1"/>
  <c r="B971" i="2"/>
  <c r="B1112" i="2"/>
  <c r="D1112" i="2" s="1"/>
  <c r="B507" i="2"/>
  <c r="C507" i="2" s="1"/>
  <c r="B553" i="2"/>
  <c r="C553" i="2" s="1"/>
  <c r="B581" i="2"/>
  <c r="B627" i="2"/>
  <c r="C627" i="2" s="1"/>
  <c r="B666" i="2"/>
  <c r="C666" i="2" s="1"/>
  <c r="B681" i="2"/>
  <c r="D681" i="2" s="1"/>
  <c r="B793" i="2"/>
  <c r="B823" i="2"/>
  <c r="C823" i="2" s="1"/>
  <c r="B844" i="2"/>
  <c r="C844" i="2" s="1"/>
  <c r="B868" i="2"/>
  <c r="C868" i="2" s="1"/>
  <c r="B892" i="2"/>
  <c r="D892" i="2" s="1"/>
  <c r="B497" i="2"/>
  <c r="B566" i="2"/>
  <c r="D566" i="2" s="1"/>
  <c r="B601" i="2"/>
  <c r="C601" i="2"/>
  <c r="D601" i="2"/>
  <c r="B630" i="2"/>
  <c r="B686" i="2"/>
  <c r="C686" i="2" s="1"/>
  <c r="B702" i="2"/>
  <c r="C702" i="2" s="1"/>
  <c r="B777" i="2"/>
  <c r="C777" i="2" s="1"/>
  <c r="B809" i="2"/>
  <c r="D809" i="2" s="1"/>
  <c r="C809" i="2"/>
  <c r="B856" i="2"/>
  <c r="C856" i="2" s="1"/>
  <c r="D856" i="2"/>
  <c r="B533" i="2"/>
  <c r="B554" i="2"/>
  <c r="B576" i="2"/>
  <c r="B619" i="2"/>
  <c r="B662" i="2"/>
  <c r="C662" i="2" s="1"/>
  <c r="B676" i="2"/>
  <c r="C676" i="2" s="1"/>
  <c r="B688" i="2"/>
  <c r="C688" i="2" s="1"/>
  <c r="B704" i="2"/>
  <c r="B775" i="2"/>
  <c r="C775" i="2" s="1"/>
  <c r="B818" i="2"/>
  <c r="C818" i="2" s="1"/>
  <c r="B820" i="2"/>
  <c r="B869" i="2"/>
  <c r="C869" i="2" s="1"/>
  <c r="B893" i="2"/>
  <c r="C893" i="2" s="1"/>
  <c r="B508" i="2"/>
  <c r="C508" i="2" s="1"/>
  <c r="B568" i="2"/>
  <c r="D568" i="2" s="1"/>
  <c r="B596" i="2"/>
  <c r="C596" i="2" s="1"/>
  <c r="B606" i="2"/>
  <c r="C606" i="2" s="1"/>
  <c r="B670" i="2"/>
  <c r="D670" i="2" s="1"/>
  <c r="C670" i="2"/>
  <c r="B703" i="2"/>
  <c r="D703" i="2" s="1"/>
  <c r="B724" i="2"/>
  <c r="C724" i="2" s="1"/>
  <c r="B772" i="2"/>
  <c r="C772" i="2" s="1"/>
  <c r="B787" i="2"/>
  <c r="C787" i="2" s="1"/>
  <c r="B819" i="2"/>
  <c r="D819" i="2" s="1"/>
  <c r="C819" i="2"/>
  <c r="B849" i="2"/>
  <c r="B891" i="2"/>
  <c r="D891" i="2" s="1"/>
  <c r="C891" i="2"/>
  <c r="B501" i="2"/>
  <c r="C501" i="2" s="1"/>
  <c r="B540" i="2"/>
  <c r="B555" i="2"/>
  <c r="C555" i="2" s="1"/>
  <c r="B583" i="2"/>
  <c r="C583" i="2" s="1"/>
  <c r="B607" i="2"/>
  <c r="B646" i="2"/>
  <c r="B690" i="2"/>
  <c r="C690" i="2" s="1"/>
  <c r="D690" i="2"/>
  <c r="B791" i="2"/>
  <c r="B822" i="2"/>
  <c r="D822" i="2" s="1"/>
  <c r="B826" i="2"/>
  <c r="D826" i="2" s="1"/>
  <c r="B850" i="2"/>
  <c r="B900" i="2"/>
  <c r="C900" i="2" s="1"/>
  <c r="B500" i="2"/>
  <c r="B559" i="2"/>
  <c r="D559" i="2" s="1"/>
  <c r="B668" i="2"/>
  <c r="B678" i="2"/>
  <c r="D678" i="2" s="1"/>
  <c r="B993" i="2"/>
  <c r="D993" i="2" s="1"/>
  <c r="B996" i="2"/>
  <c r="B537" i="2"/>
  <c r="D537" i="2" s="1"/>
  <c r="B556" i="2"/>
  <c r="C556" i="2" s="1"/>
  <c r="B584" i="2"/>
  <c r="B592" i="2"/>
  <c r="D592" i="2" s="1"/>
  <c r="B669" i="2"/>
  <c r="C669" i="2" s="1"/>
  <c r="B692" i="2"/>
  <c r="C692" i="2" s="1"/>
  <c r="B741" i="2"/>
  <c r="D741" i="2" s="1"/>
  <c r="B773" i="2"/>
  <c r="D773" i="2" s="1"/>
  <c r="C773" i="2"/>
  <c r="B776" i="2"/>
  <c r="C776" i="2" s="1"/>
  <c r="B825" i="2"/>
  <c r="C825" i="2" s="1"/>
  <c r="B870" i="2"/>
  <c r="B942" i="2"/>
  <c r="B496" i="2"/>
  <c r="B660" i="2"/>
  <c r="C660" i="2" s="1"/>
  <c r="D660" i="2"/>
  <c r="B687" i="2"/>
  <c r="D687" i="2" s="1"/>
  <c r="B718" i="2"/>
  <c r="B974" i="2"/>
  <c r="B1079" i="2"/>
  <c r="C1079" i="2" s="1"/>
  <c r="B502" i="2"/>
  <c r="B560" i="2"/>
  <c r="D560" i="2" s="1"/>
  <c r="B664" i="2"/>
  <c r="B725" i="2"/>
  <c r="B1005" i="2"/>
  <c r="D1005" i="2" s="1"/>
  <c r="C1005" i="2"/>
  <c r="B1080" i="2"/>
  <c r="C1080" i="2" s="1"/>
  <c r="B570" i="2"/>
  <c r="B615" i="2"/>
  <c r="C615" i="2" s="1"/>
  <c r="B727" i="2"/>
  <c r="B504" i="2"/>
  <c r="D504" i="2" s="1"/>
  <c r="C504" i="2"/>
  <c r="B674" i="2"/>
  <c r="B684" i="2"/>
  <c r="D684" i="2" s="1"/>
  <c r="B927" i="2"/>
  <c r="C927" i="2" s="1"/>
  <c r="B984" i="2"/>
  <c r="D984" i="2" s="1"/>
  <c r="C984" i="2"/>
  <c r="B999" i="2"/>
  <c r="C999" i="2" s="1"/>
  <c r="B1008" i="2"/>
  <c r="C1008" i="2" s="1"/>
  <c r="B505" i="2"/>
  <c r="B571" i="2"/>
  <c r="C571" i="2" s="1"/>
  <c r="B790" i="2"/>
  <c r="B836" i="2"/>
  <c r="C836" i="2" s="1"/>
  <c r="B865" i="2"/>
  <c r="C865" i="2" s="1"/>
  <c r="B1001" i="2"/>
  <c r="B1010" i="2"/>
  <c r="D1010" i="2" s="1"/>
  <c r="C1010" i="2"/>
  <c r="B536" i="2"/>
  <c r="C536" i="2" s="1"/>
  <c r="B685" i="2"/>
  <c r="B709" i="2"/>
  <c r="C709" i="2" s="1"/>
  <c r="B986" i="2"/>
  <c r="C986" i="2" s="1"/>
  <c r="B989" i="2"/>
  <c r="C989" i="2" s="1"/>
  <c r="B620" i="2"/>
  <c r="C620" i="2" s="1"/>
  <c r="B729" i="2"/>
  <c r="B977" i="2"/>
  <c r="D977" i="2" s="1"/>
  <c r="B992" i="2"/>
  <c r="B786" i="2"/>
  <c r="B802" i="2"/>
  <c r="D802" i="2" s="1"/>
  <c r="B863" i="2"/>
  <c r="C863" i="2" s="1"/>
  <c r="D863" i="2"/>
  <c r="B980" i="2"/>
  <c r="C980" i="2" s="1"/>
  <c r="B814" i="2"/>
  <c r="D814" i="2" s="1"/>
  <c r="B860" i="2"/>
  <c r="D860" i="2" s="1"/>
  <c r="B644" i="2"/>
  <c r="C644" i="2" s="1"/>
  <c r="B650" i="2"/>
  <c r="B652" i="2"/>
  <c r="B731" i="2"/>
  <c r="D731" i="2" s="1"/>
  <c r="C731" i="2"/>
  <c r="B983" i="2"/>
  <c r="C983" i="2" s="1"/>
  <c r="B995" i="2"/>
  <c r="D995" i="2" s="1"/>
  <c r="B838" i="2"/>
  <c r="C838" i="2" s="1"/>
  <c r="B890" i="2"/>
  <c r="C890" i="2" s="1"/>
  <c r="D890" i="2"/>
  <c r="B812" i="2"/>
  <c r="B799" i="2"/>
  <c r="B1028" i="2"/>
  <c r="B1015" i="2"/>
  <c r="C1015" i="2" s="1"/>
  <c r="D1015" i="2"/>
  <c r="B1019" i="2"/>
  <c r="B1009" i="2"/>
  <c r="C1009" i="2" s="1"/>
  <c r="B1012" i="2"/>
  <c r="C1012" i="2" s="1"/>
  <c r="B1017" i="2"/>
  <c r="B1021" i="2"/>
  <c r="B1023" i="2"/>
  <c r="B1026" i="2"/>
  <c r="B1030" i="2"/>
  <c r="B1032" i="2"/>
  <c r="C1032" i="2" s="1"/>
  <c r="B1034" i="2"/>
  <c r="C1034" i="2" s="1"/>
  <c r="D1034" i="2"/>
  <c r="B1096" i="2"/>
  <c r="B19" i="2"/>
  <c r="B44" i="2"/>
  <c r="D44" i="2" s="1"/>
  <c r="B72" i="2"/>
  <c r="C72" i="2" s="1"/>
  <c r="B126" i="2"/>
  <c r="B95" i="2"/>
  <c r="D95" i="2" s="1"/>
  <c r="B70" i="2"/>
  <c r="B127" i="2"/>
  <c r="D127" i="2" s="1"/>
  <c r="B97" i="2"/>
  <c r="B54" i="2"/>
  <c r="B114" i="2"/>
  <c r="B60" i="2"/>
  <c r="C60" i="2" s="1"/>
  <c r="B116" i="2"/>
  <c r="B41" i="2"/>
  <c r="B105" i="2"/>
  <c r="D105" i="2" s="1"/>
  <c r="C105" i="2"/>
  <c r="B111" i="2"/>
  <c r="B55" i="2"/>
  <c r="B128" i="2"/>
  <c r="B62" i="2"/>
  <c r="D62" i="2" s="1"/>
  <c r="B129" i="2"/>
  <c r="C129" i="2" s="1"/>
  <c r="B82" i="2"/>
  <c r="D82" i="2" s="1"/>
  <c r="B113" i="2"/>
  <c r="D113" i="2" s="1"/>
  <c r="C113" i="2"/>
  <c r="B84" i="2"/>
  <c r="C84" i="2" s="1"/>
  <c r="B99" i="2"/>
  <c r="D99" i="2" s="1"/>
  <c r="B100" i="2"/>
  <c r="D100" i="2" s="1"/>
  <c r="B57" i="2"/>
  <c r="B118" i="2"/>
  <c r="C118" i="2" s="1"/>
  <c r="D118" i="2"/>
  <c r="B115" i="2"/>
  <c r="C115" i="2" s="1"/>
  <c r="B94" i="2"/>
  <c r="B909" i="2"/>
  <c r="B906" i="2"/>
  <c r="B912" i="2"/>
  <c r="B550" i="2"/>
  <c r="B577" i="2"/>
  <c r="C577" i="2"/>
  <c r="D577" i="2"/>
  <c r="B586" i="2"/>
  <c r="B633" i="2"/>
  <c r="D633" i="2" s="1"/>
  <c r="B647" i="2"/>
  <c r="C647" i="2" s="1"/>
  <c r="B648" i="2"/>
  <c r="D648" i="2" s="1"/>
  <c r="B693" i="2"/>
  <c r="B706" i="2"/>
  <c r="C706" i="2" s="1"/>
  <c r="D706" i="2"/>
  <c r="B719" i="2"/>
  <c r="B779" i="2"/>
  <c r="D779" i="2" s="1"/>
  <c r="C779" i="2"/>
  <c r="B780" i="2"/>
  <c r="C780" i="2" s="1"/>
  <c r="B855" i="2"/>
  <c r="D855" i="2" s="1"/>
  <c r="C855" i="2"/>
  <c r="B1003" i="2"/>
  <c r="C1003" i="2" s="1"/>
  <c r="B1006" i="2"/>
  <c r="D1006" i="2" s="1"/>
  <c r="B1011" i="2"/>
  <c r="B1081" i="2"/>
  <c r="B1082" i="2"/>
  <c r="B1083" i="2"/>
  <c r="C1083" i="2" s="1"/>
  <c r="B1120" i="2"/>
  <c r="B1129" i="2"/>
  <c r="D1129" i="2" s="1"/>
  <c r="B546" i="2"/>
  <c r="C546" i="2" s="1"/>
  <c r="B561" i="2"/>
  <c r="D561" i="2" s="1"/>
  <c r="B578" i="2"/>
  <c r="B597" i="2"/>
  <c r="C597" i="2" s="1"/>
  <c r="B714" i="2"/>
  <c r="B736" i="2"/>
  <c r="D736" i="2" s="1"/>
  <c r="B837" i="2"/>
  <c r="C837" i="2" s="1"/>
  <c r="D837" i="2"/>
  <c r="B872" i="2"/>
  <c r="D872" i="2" s="1"/>
  <c r="B544" i="2"/>
  <c r="D544" i="2" s="1"/>
  <c r="C544" i="2"/>
  <c r="B573" i="2"/>
  <c r="D573" i="2" s="1"/>
  <c r="B602" i="2"/>
  <c r="B708" i="2"/>
  <c r="C708" i="2" s="1"/>
  <c r="D708" i="2"/>
  <c r="B740" i="2"/>
  <c r="C740" i="2" s="1"/>
  <c r="B804" i="2"/>
  <c r="D804" i="2" s="1"/>
  <c r="C804" i="2"/>
  <c r="B827" i="2"/>
  <c r="C827" i="2" s="1"/>
  <c r="B857" i="2"/>
  <c r="B509" i="2"/>
  <c r="B605" i="2"/>
  <c r="D605" i="2" s="1"/>
  <c r="C605" i="2"/>
  <c r="B638" i="2"/>
  <c r="B679" i="2"/>
  <c r="B683" i="2"/>
  <c r="B747" i="2"/>
  <c r="C747" i="2" s="1"/>
  <c r="B808" i="2"/>
  <c r="C808" i="2" s="1"/>
  <c r="B867" i="2"/>
  <c r="D867" i="2" s="1"/>
  <c r="C867" i="2"/>
  <c r="B998" i="2"/>
  <c r="B547" i="2"/>
  <c r="D547" i="2" s="1"/>
  <c r="B572" i="2"/>
  <c r="B585" i="2"/>
  <c r="C585" i="2" s="1"/>
  <c r="B609" i="2"/>
  <c r="B682" i="2"/>
  <c r="C682" i="2" s="1"/>
  <c r="D682" i="2"/>
  <c r="B710" i="2"/>
  <c r="B788" i="2"/>
  <c r="B871" i="2"/>
  <c r="D871" i="2" s="1"/>
  <c r="B1099" i="2"/>
  <c r="C1099" i="2" s="1"/>
  <c r="B1126" i="2"/>
  <c r="B532" i="2"/>
  <c r="B866" i="2"/>
  <c r="D866" i="2" s="1"/>
  <c r="B539" i="2"/>
  <c r="C539" i="2" s="1"/>
  <c r="B574" i="2"/>
  <c r="D574" i="2" s="1"/>
  <c r="B599" i="2"/>
  <c r="D599" i="2" s="1"/>
  <c r="B610" i="2"/>
  <c r="C610" i="2" s="1"/>
  <c r="B654" i="2"/>
  <c r="B705" i="2"/>
  <c r="B734" i="2"/>
  <c r="B806" i="2"/>
  <c r="C806" i="2" s="1"/>
  <c r="B874" i="2"/>
  <c r="C874" i="2" s="1"/>
  <c r="D874" i="2"/>
  <c r="B894" i="2"/>
  <c r="B634" i="2"/>
  <c r="D634" i="2" s="1"/>
  <c r="B694" i="2"/>
  <c r="D694" i="2" s="1"/>
  <c r="B640" i="2"/>
  <c r="C640" i="2" s="1"/>
  <c r="B813" i="2"/>
  <c r="B548" i="2"/>
  <c r="D548" i="2" s="1"/>
  <c r="C548" i="2"/>
  <c r="B575" i="2"/>
  <c r="C575" i="2" s="1"/>
  <c r="D575" i="2"/>
  <c r="B588" i="2"/>
  <c r="D588" i="2" s="1"/>
  <c r="B594" i="2"/>
  <c r="C594" i="2" s="1"/>
  <c r="B651" i="2"/>
  <c r="C651" i="2" s="1"/>
  <c r="B696" i="2"/>
  <c r="C696" i="2" s="1"/>
  <c r="D696" i="2"/>
  <c r="B707" i="2"/>
  <c r="C707" i="2" s="1"/>
  <c r="B839" i="2"/>
  <c r="B859" i="2"/>
  <c r="B937" i="2"/>
  <c r="C937" i="2" s="1"/>
  <c r="B1108" i="2"/>
  <c r="B487" i="2"/>
  <c r="C487" i="2" s="1"/>
  <c r="B512" i="2"/>
  <c r="B821" i="2"/>
  <c r="B632" i="2"/>
  <c r="B798" i="2"/>
  <c r="D798" i="2" s="1"/>
  <c r="B987" i="2"/>
  <c r="B782" i="2"/>
  <c r="B800" i="2"/>
  <c r="B626" i="2"/>
  <c r="B784" i="2"/>
  <c r="C784" i="2" s="1"/>
  <c r="B1075" i="2"/>
  <c r="B453" i="2"/>
  <c r="B835" i="2"/>
  <c r="C835" i="2" s="1"/>
  <c r="D835" i="2"/>
  <c r="B549" i="2"/>
  <c r="D549" i="2" s="1"/>
  <c r="B562" i="2"/>
  <c r="C562" i="2" s="1"/>
  <c r="B603" i="2"/>
  <c r="D603" i="2" s="1"/>
  <c r="B612" i="2"/>
  <c r="B675" i="2"/>
  <c r="C675" i="2" s="1"/>
  <c r="B689" i="2"/>
  <c r="C689" i="2" s="1"/>
  <c r="D689" i="2"/>
  <c r="B743" i="2"/>
  <c r="C743" i="2" s="1"/>
  <c r="B841" i="2"/>
  <c r="B853" i="2"/>
  <c r="D853" i="2" s="1"/>
  <c r="B541" i="2"/>
  <c r="B565" i="2"/>
  <c r="D565" i="2" s="1"/>
  <c r="B595" i="2"/>
  <c r="B604" i="2"/>
  <c r="C604" i="2" s="1"/>
  <c r="B639" i="2"/>
  <c r="B691" i="2"/>
  <c r="B717" i="2"/>
  <c r="C717" i="2" s="1"/>
  <c r="B810" i="2"/>
  <c r="B768" i="2"/>
  <c r="C768" i="2" s="1"/>
  <c r="B795" i="2"/>
  <c r="B985" i="2"/>
  <c r="B715" i="2"/>
  <c r="C715" i="2" s="1"/>
  <c r="B1077" i="2"/>
  <c r="C1077" i="2" s="1"/>
  <c r="B498" i="2"/>
  <c r="B737" i="2"/>
  <c r="B785" i="2"/>
  <c r="D785" i="2" s="1"/>
  <c r="B1073" i="2"/>
  <c r="B567" i="2"/>
  <c r="B580" i="2"/>
  <c r="B598" i="2"/>
  <c r="C598" i="2" s="1"/>
  <c r="B698" i="2"/>
  <c r="B716" i="2"/>
  <c r="C716" i="2" s="1"/>
  <c r="B811" i="2"/>
  <c r="C811" i="2" s="1"/>
  <c r="D811" i="2"/>
  <c r="B858" i="2"/>
  <c r="B513" i="2"/>
  <c r="B514" i="2"/>
  <c r="C514" i="2" s="1"/>
  <c r="B510" i="2"/>
  <c r="B635" i="2"/>
  <c r="C635" i="2" s="1"/>
  <c r="B981" i="2"/>
  <c r="D981" i="2" s="1"/>
  <c r="B530" i="2"/>
  <c r="B551" i="2"/>
  <c r="C551" i="2" s="1"/>
  <c r="D551" i="2"/>
  <c r="B558" i="2"/>
  <c r="D558" i="2" s="1"/>
  <c r="B589" i="2"/>
  <c r="D589" i="2" s="1"/>
  <c r="B613" i="2"/>
  <c r="B665" i="2"/>
  <c r="B695" i="2"/>
  <c r="C695" i="2" s="1"/>
  <c r="B713" i="2"/>
  <c r="D713" i="2" s="1"/>
  <c r="C713" i="2"/>
  <c r="B792" i="2"/>
  <c r="D792" i="2" s="1"/>
  <c r="C792" i="2"/>
  <c r="B861" i="2"/>
  <c r="B933" i="2"/>
  <c r="B511" i="2"/>
  <c r="B1123" i="2"/>
  <c r="B531" i="2"/>
  <c r="B545" i="2"/>
  <c r="C545" i="2" s="1"/>
  <c r="B557" i="2"/>
  <c r="B587" i="2"/>
  <c r="B636" i="2"/>
  <c r="B667" i="2"/>
  <c r="B699" i="2"/>
  <c r="D699" i="2" s="1"/>
  <c r="B711" i="2"/>
  <c r="C711" i="2" s="1"/>
  <c r="D711" i="2"/>
  <c r="B843" i="2"/>
  <c r="B939" i="2"/>
  <c r="C939" i="2" s="1"/>
  <c r="B1106" i="2"/>
  <c r="D1106" i="2" s="1"/>
  <c r="B637" i="2"/>
  <c r="C637" i="2" s="1"/>
  <c r="B816" i="2"/>
  <c r="B1000" i="2"/>
  <c r="B542" i="2"/>
  <c r="C542" i="2" s="1"/>
  <c r="D542" i="2"/>
  <c r="B569" i="2"/>
  <c r="D569" i="2" s="1"/>
  <c r="B579" i="2"/>
  <c r="B600" i="2"/>
  <c r="C600" i="2" s="1"/>
  <c r="B672" i="2"/>
  <c r="D672" i="2" s="1"/>
  <c r="B739" i="2"/>
  <c r="B745" i="2"/>
  <c r="B845" i="2"/>
  <c r="D845" i="2" s="1"/>
  <c r="C845" i="2"/>
  <c r="B873" i="2"/>
  <c r="C873" i="2" s="1"/>
  <c r="B526" i="2"/>
  <c r="D526" i="2" s="1"/>
  <c r="B515" i="2"/>
  <c r="B852" i="2"/>
  <c r="C852" i="2" s="1"/>
  <c r="B642" i="2"/>
  <c r="C642" i="2" s="1"/>
  <c r="B815" i="2"/>
  <c r="C815" i="2" s="1"/>
  <c r="D815" i="2"/>
  <c r="B631" i="2"/>
  <c r="C631" i="2" s="1"/>
  <c r="D631" i="2"/>
  <c r="B671" i="2"/>
  <c r="B732" i="2"/>
  <c r="B797" i="2"/>
  <c r="B1002" i="2"/>
  <c r="B516" i="2"/>
  <c r="C516" i="2" s="1"/>
  <c r="B42" i="2"/>
  <c r="B43" i="2"/>
  <c r="D43" i="2" s="1"/>
  <c r="C43" i="2"/>
  <c r="B45" i="2"/>
  <c r="B46" i="2"/>
  <c r="B86" i="2"/>
  <c r="C86" i="2" s="1"/>
  <c r="B47" i="2"/>
  <c r="B48" i="2"/>
  <c r="B49" i="2"/>
  <c r="B50" i="2"/>
  <c r="B51" i="2"/>
  <c r="C51" i="2" s="1"/>
  <c r="B53" i="2"/>
  <c r="C53" i="2" s="1"/>
  <c r="B58" i="2"/>
  <c r="B59" i="2"/>
  <c r="C59" i="2" s="1"/>
  <c r="B61" i="2"/>
  <c r="C61" i="2" s="1"/>
  <c r="D61" i="2"/>
  <c r="B64" i="2"/>
  <c r="C64" i="2" s="1"/>
  <c r="B65" i="2"/>
  <c r="B78" i="2"/>
  <c r="B117" i="2"/>
  <c r="B79" i="2"/>
  <c r="D79" i="2" s="1"/>
  <c r="C79" i="2"/>
  <c r="B101" i="2"/>
  <c r="B80" i="2"/>
  <c r="C80" i="2" s="1"/>
  <c r="B85" i="2"/>
  <c r="B87" i="2"/>
  <c r="D87" i="2" s="1"/>
  <c r="B88" i="2"/>
  <c r="B119" i="2"/>
  <c r="B89" i="2"/>
  <c r="D89" i="2" s="1"/>
  <c r="C89" i="2"/>
  <c r="B102" i="2"/>
  <c r="D102" i="2" s="1"/>
  <c r="B120" i="2"/>
  <c r="B122" i="2"/>
  <c r="C122" i="2" s="1"/>
  <c r="B130" i="2"/>
  <c r="C130" i="2" s="1"/>
  <c r="B131" i="2"/>
  <c r="D131" i="2" s="1"/>
  <c r="C131" i="2"/>
  <c r="B74" i="2"/>
  <c r="B121" i="2"/>
  <c r="B875" i="2"/>
  <c r="C875" i="2" s="1"/>
  <c r="B1060" i="2"/>
  <c r="C1060" i="2" s="1"/>
  <c r="B794" i="2"/>
  <c r="D794" i="2" s="1"/>
  <c r="B842" i="2"/>
  <c r="C842" i="2" s="1"/>
  <c r="B1027" i="2"/>
  <c r="B828" i="2"/>
  <c r="C828" i="2" s="1"/>
  <c r="B1025" i="2"/>
  <c r="C1025" i="2" s="1"/>
  <c r="B840" i="2"/>
  <c r="B1100" i="2"/>
  <c r="C1100" i="2" s="1"/>
  <c r="B91" i="2"/>
  <c r="B93" i="2"/>
  <c r="B107" i="2"/>
  <c r="D107" i="2" s="1"/>
  <c r="B1048" i="2"/>
  <c r="D1048" i="2" s="1"/>
  <c r="B881" i="2"/>
  <c r="B1089" i="2"/>
  <c r="B455" i="2"/>
  <c r="C455" i="2" s="1"/>
  <c r="B456" i="2"/>
  <c r="D456" i="2" s="1"/>
  <c r="C456" i="2"/>
  <c r="B457" i="2"/>
  <c r="B458" i="2"/>
  <c r="C458" i="2" s="1"/>
  <c r="B459" i="2"/>
  <c r="D459" i="2" s="1"/>
  <c r="B460" i="2"/>
  <c r="D460" i="2" s="1"/>
  <c r="B461" i="2"/>
  <c r="B462" i="2"/>
  <c r="D462" i="2" s="1"/>
  <c r="B463" i="2"/>
  <c r="C463" i="2" s="1"/>
  <c r="B464" i="2"/>
  <c r="C464" i="2" s="1"/>
  <c r="D464" i="2"/>
  <c r="B465" i="2"/>
  <c r="B466" i="2"/>
  <c r="B467" i="2"/>
  <c r="C467" i="2" s="1"/>
  <c r="B468" i="2"/>
  <c r="C468" i="2" s="1"/>
  <c r="D468" i="2"/>
  <c r="B469" i="2"/>
  <c r="C469" i="2" s="1"/>
  <c r="D469" i="2"/>
  <c r="B471" i="2"/>
  <c r="B472" i="2"/>
  <c r="C472" i="2" s="1"/>
  <c r="B473" i="2"/>
  <c r="C473" i="2" s="1"/>
  <c r="B474" i="2"/>
  <c r="B475" i="2"/>
  <c r="B476" i="2"/>
  <c r="C476" i="2" s="1"/>
  <c r="D476" i="2"/>
  <c r="B477" i="2"/>
  <c r="B478" i="2"/>
  <c r="B479" i="2"/>
  <c r="B481" i="2"/>
  <c r="B482" i="2"/>
  <c r="D482" i="2" s="1"/>
  <c r="B483" i="2"/>
  <c r="B484" i="2"/>
  <c r="B485" i="2"/>
  <c r="B486" i="2"/>
  <c r="D486" i="2" s="1"/>
  <c r="B470" i="2"/>
  <c r="B480" i="2"/>
  <c r="B752" i="2"/>
  <c r="D752" i="2" s="1"/>
  <c r="C752" i="2"/>
  <c r="B1064" i="2"/>
  <c r="D1064" i="2" s="1"/>
  <c r="B1066" i="2"/>
  <c r="B1068" i="2"/>
  <c r="B1072" i="2"/>
  <c r="C1072" i="2" s="1"/>
  <c r="B1074" i="2"/>
  <c r="D1074" i="2" s="1"/>
  <c r="B1091" i="2"/>
  <c r="B1116" i="2"/>
  <c r="D1116" i="2" s="1"/>
  <c r="B1121" i="2"/>
  <c r="C1121" i="2" s="1"/>
  <c r="B1122" i="2"/>
  <c r="B1131" i="2"/>
  <c r="B1132" i="2"/>
  <c r="B1133" i="2"/>
  <c r="B824" i="2"/>
  <c r="C824" i="2" s="1"/>
  <c r="B1" i="2"/>
  <c r="B2" i="2"/>
  <c r="B3" i="2"/>
  <c r="B4" i="2"/>
  <c r="D4" i="2" s="1"/>
  <c r="C4" i="2"/>
  <c r="B5" i="2"/>
  <c r="C5" i="2" s="1"/>
  <c r="B6" i="2"/>
  <c r="C6" i="2" s="1"/>
  <c r="B7" i="2"/>
  <c r="B8" i="2"/>
  <c r="B9" i="2"/>
  <c r="B10" i="2"/>
  <c r="B20" i="2"/>
  <c r="B21" i="2"/>
  <c r="C21" i="2" s="1"/>
  <c r="B22" i="2"/>
  <c r="C22" i="2" s="1"/>
  <c r="B23" i="2"/>
  <c r="C23" i="2" s="1"/>
  <c r="B24" i="2"/>
  <c r="D24" i="2" s="1"/>
  <c r="B25" i="2"/>
  <c r="B26" i="2"/>
  <c r="C26" i="2" s="1"/>
  <c r="D26" i="2"/>
  <c r="B27" i="2"/>
  <c r="B28" i="2"/>
  <c r="B29" i="2"/>
  <c r="D29" i="2" s="1"/>
  <c r="B30" i="2"/>
  <c r="C30" i="2" s="1"/>
  <c r="B32" i="2"/>
  <c r="B33" i="2"/>
  <c r="D33" i="2" s="1"/>
  <c r="B34" i="2"/>
  <c r="D34" i="2" s="1"/>
  <c r="B35" i="2"/>
  <c r="C35" i="2"/>
  <c r="D35" i="2"/>
  <c r="B36" i="2"/>
  <c r="B37" i="2"/>
  <c r="B38" i="2"/>
  <c r="C38" i="2" s="1"/>
  <c r="B39" i="2"/>
  <c r="C39" i="2" s="1"/>
  <c r="B40" i="2"/>
  <c r="C40" i="2" s="1"/>
  <c r="D40" i="2"/>
  <c r="B98" i="2"/>
  <c r="B77" i="2"/>
  <c r="B31" i="2"/>
  <c r="B617" i="2"/>
  <c r="B616" i="2"/>
  <c r="B618" i="2"/>
  <c r="D618" i="2" s="1"/>
  <c r="B593" i="2"/>
  <c r="D593" i="2" s="1"/>
  <c r="B622" i="2"/>
  <c r="D622" i="2" s="1"/>
  <c r="C622" i="2"/>
  <c r="B623" i="2"/>
  <c r="B625" i="2"/>
  <c r="B629" i="2"/>
  <c r="D629" i="2" s="1"/>
  <c r="B649" i="2"/>
  <c r="C649" i="2"/>
  <c r="D649" i="2"/>
  <c r="B657" i="2"/>
  <c r="B656" i="2"/>
  <c r="B655" i="2"/>
  <c r="B653" i="2"/>
  <c r="D653" i="2" s="1"/>
  <c r="B661" i="2"/>
  <c r="C661" i="2" s="1"/>
  <c r="B663" i="2"/>
  <c r="B628" i="2"/>
  <c r="B876" i="2"/>
  <c r="C876" i="2" s="1"/>
  <c r="B659" i="2"/>
  <c r="C659" i="2" s="1"/>
  <c r="B621" i="2"/>
  <c r="D621" i="2" s="1"/>
  <c r="B611" i="2"/>
  <c r="D611" i="2" s="1"/>
  <c r="B887" i="2"/>
  <c r="B882" i="2"/>
  <c r="D882" i="2" s="1"/>
  <c r="B883" i="2"/>
  <c r="B1145" i="2"/>
  <c r="B1059" i="2"/>
  <c r="C1059" i="2" s="1"/>
  <c r="B519" i="2"/>
  <c r="C519" i="2" s="1"/>
  <c r="B1061" i="2"/>
  <c r="B518" i="2"/>
  <c r="C518" i="2" s="1"/>
  <c r="B1063" i="2"/>
  <c r="C1063" i="2" s="1"/>
  <c r="B1069" i="2"/>
  <c r="C1069" i="2" s="1"/>
  <c r="B517" i="2"/>
  <c r="B968" i="2"/>
  <c r="D968" i="2" s="1"/>
  <c r="B520" i="2"/>
  <c r="D520" i="2" s="1"/>
  <c r="B1071" i="2"/>
  <c r="B543" i="2"/>
  <c r="B728" i="2"/>
  <c r="C728" i="2" s="1"/>
  <c r="B726" i="2"/>
  <c r="C726" i="2" s="1"/>
  <c r="B534" i="2"/>
  <c r="D534" i="2" s="1"/>
  <c r="B535" i="2"/>
  <c r="D535" i="2" s="1"/>
  <c r="B735" i="2"/>
  <c r="B1101" i="2"/>
  <c r="D1101" i="2" s="1"/>
  <c r="C1101" i="2"/>
  <c r="B490" i="2"/>
  <c r="C490" i="2" s="1"/>
  <c r="B491" i="2"/>
  <c r="B492" i="2"/>
  <c r="C492" i="2" s="1"/>
  <c r="D492" i="2"/>
  <c r="B493" i="2"/>
  <c r="D493" i="2" s="1"/>
  <c r="C493" i="2"/>
  <c r="B494" i="2"/>
  <c r="D494" i="2" s="1"/>
  <c r="B1149" i="2"/>
  <c r="D1149" i="2" s="1"/>
  <c r="B783" i="2"/>
  <c r="B1118" i="2"/>
  <c r="D1118" i="2" s="1"/>
  <c r="B1135" i="2"/>
  <c r="C1135" i="2" s="1"/>
  <c r="B742" i="2"/>
  <c r="D742" i="2" s="1"/>
  <c r="C742" i="2"/>
  <c r="B753" i="2"/>
  <c r="D753" i="2" s="1"/>
  <c r="B744" i="2"/>
  <c r="C744" i="2" s="1"/>
  <c r="B763" i="2"/>
  <c r="B750" i="2"/>
  <c r="D750" i="2" s="1"/>
  <c r="B754" i="2"/>
  <c r="C754" i="2" s="1"/>
  <c r="B1113" i="2"/>
  <c r="C1113" i="2" s="1"/>
  <c r="B878" i="2"/>
  <c r="B877" i="2"/>
  <c r="B879" i="2"/>
  <c r="C879" i="2" s="1"/>
  <c r="B451" i="2"/>
  <c r="C451" i="2" s="1"/>
  <c r="B450" i="2"/>
  <c r="B452" i="2"/>
  <c r="D452" i="2" s="1"/>
  <c r="B521" i="2"/>
  <c r="D521" i="2" s="1"/>
  <c r="B522" i="2"/>
  <c r="D522" i="2" s="1"/>
  <c r="C522" i="2"/>
  <c r="B523" i="2"/>
  <c r="B524" i="2"/>
  <c r="C524" i="2" s="1"/>
  <c r="B552" i="2"/>
  <c r="D552" i="2" s="1"/>
  <c r="B807" i="2"/>
  <c r="B774" i="2"/>
  <c r="C774" i="2" s="1"/>
  <c r="B771" i="2"/>
  <c r="D771" i="2" s="1"/>
  <c r="C771" i="2"/>
  <c r="B848" i="2"/>
  <c r="D848" i="2" s="1"/>
  <c r="B700" i="2"/>
  <c r="C700" i="2" s="1"/>
  <c r="B658" i="2"/>
  <c r="D658" i="2" s="1"/>
  <c r="B701" i="2"/>
  <c r="C701" i="2" s="1"/>
  <c r="B720" i="2"/>
  <c r="D720" i="2" s="1"/>
  <c r="B722" i="2"/>
  <c r="B723" i="2"/>
  <c r="D723" i="2" s="1"/>
  <c r="C723" i="2"/>
  <c r="B643" i="2"/>
  <c r="B847" i="2"/>
  <c r="C847" i="2" s="1"/>
  <c r="B563" i="2"/>
  <c r="B829" i="2"/>
  <c r="C829" i="2" s="1"/>
  <c r="B767" i="2"/>
  <c r="B864" i="2"/>
  <c r="D864" i="2" s="1"/>
  <c r="B454" i="2"/>
  <c r="C454" i="2" s="1"/>
  <c r="D454" i="2"/>
  <c r="B830" i="2"/>
  <c r="D830" i="2" s="1"/>
  <c r="B832" i="2"/>
  <c r="B781" i="2"/>
  <c r="C781" i="2" s="1"/>
  <c r="B746" i="2"/>
  <c r="B751" i="2"/>
  <c r="D751" i="2" s="1"/>
  <c r="B749" i="2"/>
  <c r="B738" i="2"/>
  <c r="D738" i="2" s="1"/>
  <c r="B862" i="2"/>
  <c r="D862" i="2" s="1"/>
  <c r="B834" i="2"/>
  <c r="C834" i="2" s="1"/>
  <c r="B1105" i="2"/>
  <c r="D1105" i="2" s="1"/>
  <c r="B1107" i="2"/>
  <c r="B1109" i="2"/>
  <c r="C1109" i="2" s="1"/>
  <c r="B1114" i="2"/>
  <c r="B489" i="2"/>
  <c r="D489" i="2" s="1"/>
  <c r="B488" i="2"/>
  <c r="C488" i="2" s="1"/>
  <c r="D488" i="2"/>
  <c r="B527" i="2"/>
  <c r="C527" i="2" s="1"/>
  <c r="B528" i="2"/>
  <c r="D528" i="2" s="1"/>
  <c r="B1097" i="2"/>
  <c r="B1146" i="2"/>
  <c r="C1146" i="2" s="1"/>
  <c r="D1146" i="2"/>
  <c r="B1147" i="2"/>
  <c r="C1147" i="2" s="1"/>
  <c r="B1148" i="2"/>
  <c r="D1148" i="2" s="1"/>
  <c r="B898" i="2"/>
  <c r="D898" i="2" s="1"/>
  <c r="B1098" i="2"/>
  <c r="D1098" i="2" s="1"/>
  <c r="B952" i="2"/>
  <c r="C952" i="2" s="1"/>
  <c r="D952" i="2"/>
  <c r="B994" i="2"/>
  <c r="D994" i="2" s="1"/>
  <c r="C994" i="2"/>
  <c r="B503" i="2"/>
  <c r="B885" i="2"/>
  <c r="C885" i="2" s="1"/>
  <c r="B886" i="2"/>
  <c r="C886" i="2" s="1"/>
  <c r="B888" i="2"/>
  <c r="B917" i="2"/>
  <c r="B919" i="2"/>
  <c r="C919" i="2" s="1"/>
  <c r="B943" i="2"/>
  <c r="D943" i="2" s="1"/>
  <c r="B959" i="2"/>
  <c r="D959" i="2" s="1"/>
  <c r="B991" i="2"/>
  <c r="B499" i="2"/>
  <c r="D499" i="2" s="1"/>
  <c r="B1058" i="2"/>
  <c r="B1065" i="2"/>
  <c r="C1065" i="2" s="1"/>
  <c r="D1065" i="2"/>
  <c r="B884" i="2"/>
  <c r="D884" i="2" s="1"/>
  <c r="B988" i="2"/>
  <c r="C988" i="2" s="1"/>
  <c r="D988" i="2"/>
  <c r="B1042" i="2"/>
  <c r="D1042" i="2" s="1"/>
  <c r="B608" i="2"/>
  <c r="D608" i="2" s="1"/>
  <c r="B846" i="2"/>
  <c r="B801" i="2"/>
  <c r="C801" i="2" s="1"/>
  <c r="B949" i="2"/>
  <c r="C949" i="2" s="1"/>
  <c r="D949" i="2"/>
  <c r="B506" i="2"/>
  <c r="D506" i="2" s="1"/>
  <c r="B614" i="2"/>
  <c r="B1029" i="2"/>
  <c r="C1029" i="2" s="1"/>
  <c r="B1049" i="2"/>
  <c r="B1067" i="2"/>
  <c r="B645" i="2"/>
  <c r="C645" i="2" s="1"/>
  <c r="B796" i="2"/>
  <c r="D796" i="2" s="1"/>
  <c r="B880" i="2"/>
  <c r="D880" i="2" s="1"/>
  <c r="B889" i="2"/>
  <c r="B945" i="2"/>
  <c r="C945" i="2" s="1"/>
  <c r="B954" i="2"/>
  <c r="C954" i="2" s="1"/>
  <c r="B956" i="2"/>
  <c r="B960" i="2"/>
  <c r="D960" i="2" s="1"/>
  <c r="B962" i="2"/>
  <c r="C962" i="2" s="1"/>
  <c r="D962" i="2"/>
  <c r="B964" i="2"/>
  <c r="D964" i="2" s="1"/>
  <c r="B965" i="2"/>
  <c r="D965" i="2" s="1"/>
  <c r="B970" i="2"/>
  <c r="B973" i="2"/>
  <c r="C973" i="2" s="1"/>
  <c r="B976" i="2"/>
  <c r="C976" i="2" s="1"/>
  <c r="B979" i="2"/>
  <c r="B982" i="2"/>
  <c r="C982" i="2" s="1"/>
  <c r="B997" i="2"/>
  <c r="C997" i="2" s="1"/>
  <c r="B1013" i="2"/>
  <c r="D1013" i="2" s="1"/>
  <c r="B1014" i="2"/>
  <c r="D1014" i="2" s="1"/>
  <c r="B1016" i="2"/>
  <c r="D1016" i="2" s="1"/>
  <c r="B1018" i="2"/>
  <c r="C1018" i="2" s="1"/>
  <c r="B1022" i="2"/>
  <c r="D1022" i="2" s="1"/>
  <c r="B1024" i="2"/>
  <c r="B1031" i="2"/>
  <c r="C1031" i="2" s="1"/>
  <c r="D1031" i="2"/>
  <c r="B1033" i="2"/>
  <c r="D1033" i="2" s="1"/>
  <c r="B1035" i="2"/>
  <c r="B1036" i="2"/>
  <c r="C1036" i="2" s="1"/>
  <c r="B1037" i="2"/>
  <c r="D1037" i="2" s="1"/>
  <c r="C1037" i="2"/>
  <c r="B1039" i="2"/>
  <c r="C1039" i="2" s="1"/>
  <c r="B1041" i="2"/>
  <c r="B1043" i="2"/>
  <c r="B1045" i="2"/>
  <c r="C1045" i="2" s="1"/>
  <c r="B1046" i="2"/>
  <c r="C1046" i="2" s="1"/>
  <c r="B1051" i="2"/>
  <c r="D1051" i="2" s="1"/>
  <c r="B1053" i="2"/>
  <c r="B1056" i="2"/>
  <c r="B1057" i="2"/>
  <c r="C1057" i="2" s="1"/>
  <c r="B1078" i="2"/>
  <c r="C1078" i="2" s="1"/>
  <c r="B1084" i="2"/>
  <c r="B1085" i="2"/>
  <c r="D1085" i="2" s="1"/>
  <c r="B1086" i="2"/>
  <c r="C1086" i="2" s="1"/>
  <c r="B1087" i="2"/>
  <c r="D1087" i="2" s="1"/>
  <c r="B1088" i="2"/>
  <c r="D1088" i="2" s="1"/>
  <c r="C1088" i="2"/>
  <c r="B1090" i="2"/>
  <c r="B1095" i="2"/>
  <c r="C1095" i="2" s="1"/>
  <c r="B1102" i="2"/>
  <c r="C1102" i="2" s="1"/>
  <c r="B1127" i="2"/>
  <c r="B1128" i="2"/>
  <c r="D1128" i="2" s="1"/>
  <c r="B1130" i="2"/>
  <c r="D1130" i="2" s="1"/>
  <c r="C1130" i="2"/>
  <c r="B1134" i="2"/>
  <c r="D1134" i="2" s="1"/>
  <c r="B932" i="2"/>
  <c r="D932" i="2" s="1"/>
  <c r="B935" i="2"/>
  <c r="C935" i="2" s="1"/>
  <c r="B948" i="2"/>
  <c r="B1038" i="2"/>
  <c r="B1052" i="2"/>
  <c r="C1052" i="2" s="1"/>
  <c r="D1052" i="2"/>
  <c r="B1055" i="2"/>
  <c r="D1055" i="2" s="1"/>
  <c r="C1055" i="2"/>
  <c r="B946" i="2"/>
  <c r="C946" i="2" s="1"/>
  <c r="B1094" i="2"/>
  <c r="D1094" i="2" s="1"/>
  <c r="B1020" i="2"/>
  <c r="C1020" i="2" s="1"/>
  <c r="B1040" i="2"/>
  <c r="D1040" i="2" s="1"/>
  <c r="C1040" i="2"/>
  <c r="B1054" i="2"/>
  <c r="D1054" i="2" s="1"/>
  <c r="C1054" i="2"/>
  <c r="B441" i="2"/>
  <c r="D441" i="2" s="1"/>
  <c r="C441" i="2"/>
  <c r="B442" i="2"/>
  <c r="D442" i="2" s="1"/>
  <c r="B443" i="2"/>
  <c r="C443" i="2" s="1"/>
  <c r="B444" i="2"/>
  <c r="C444" i="2" s="1"/>
  <c r="D444" i="2"/>
  <c r="B445" i="2"/>
  <c r="B446" i="2"/>
  <c r="B447" i="2"/>
  <c r="D447" i="2" s="1"/>
  <c r="B448" i="2"/>
  <c r="B449" i="2"/>
  <c r="C449" i="2" s="1"/>
  <c r="B1143" i="2"/>
  <c r="C1143" i="2" s="1"/>
  <c r="B1139" i="2"/>
  <c r="B1140" i="2"/>
  <c r="B1142" i="2"/>
  <c r="C1142" i="2" s="1"/>
  <c r="B1144" i="2"/>
  <c r="C1144" i="2" s="1"/>
  <c r="D1144" i="2"/>
  <c r="B1138" i="2"/>
  <c r="D1138" i="2" s="1"/>
  <c r="B1141" i="2"/>
  <c r="C1141" i="2" s="1"/>
  <c r="B769" i="2"/>
  <c r="C769" i="2" s="1"/>
  <c r="B1070" i="2"/>
  <c r="C1070" i="2" s="1"/>
  <c r="D1070" i="2"/>
  <c r="B733" i="2"/>
  <c r="B748" i="2"/>
  <c r="D748" i="2" s="1"/>
  <c r="C748" i="2"/>
  <c r="B755" i="2"/>
  <c r="D755" i="2" s="1"/>
  <c r="B990" i="2"/>
  <c r="C990" i="2" s="1"/>
  <c r="B951" i="2"/>
  <c r="C951" i="2" s="1"/>
  <c r="B1111" i="2"/>
  <c r="C1111" i="2" s="1"/>
  <c r="D1111" i="2"/>
  <c r="B967" i="2"/>
  <c r="D967" i="2" s="1"/>
  <c r="C967" i="2"/>
  <c r="B1044" i="2"/>
  <c r="D1044" i="2" s="1"/>
  <c r="B66" i="2"/>
  <c r="C66" i="2" s="1"/>
  <c r="B69" i="2"/>
  <c r="C69" i="2" s="1"/>
  <c r="D69" i="2"/>
  <c r="B106" i="2"/>
  <c r="B71" i="2"/>
  <c r="C71" i="2" s="1"/>
  <c r="B125" i="2"/>
  <c r="C125" i="2" s="1"/>
  <c r="B132" i="2"/>
  <c r="D132" i="2" s="1"/>
  <c r="B76" i="2"/>
  <c r="C76" i="2" s="1"/>
  <c r="B81" i="2"/>
  <c r="D81" i="2" s="1"/>
  <c r="B52" i="2"/>
  <c r="C52" i="2" s="1"/>
  <c r="B56" i="2"/>
  <c r="C56" i="2" s="1"/>
  <c r="B63" i="2"/>
  <c r="B67" i="2"/>
  <c r="C67" i="2" s="1"/>
  <c r="B68" i="2"/>
  <c r="C68" i="2" s="1"/>
  <c r="B123" i="2"/>
  <c r="B73" i="2"/>
  <c r="C73" i="2" s="1"/>
  <c r="B75" i="2"/>
  <c r="D75" i="2" s="1"/>
  <c r="B90" i="2"/>
  <c r="C90" i="2" s="1"/>
  <c r="B124" i="2"/>
  <c r="B92" i="2"/>
  <c r="B108" i="2"/>
  <c r="D108" i="2" s="1"/>
  <c r="B103" i="2"/>
  <c r="D103" i="2" s="1"/>
  <c r="B104" i="2"/>
  <c r="D104" i="2" s="1"/>
  <c r="B223" i="2"/>
  <c r="C223" i="2" s="1"/>
  <c r="B226" i="2"/>
  <c r="B231" i="2"/>
  <c r="C231" i="2" s="1"/>
  <c r="B418" i="2"/>
  <c r="C418" i="2" s="1"/>
  <c r="D418" i="2"/>
  <c r="B235" i="2"/>
  <c r="D235" i="2" s="1"/>
  <c r="B240" i="2"/>
  <c r="C240" i="2" s="1"/>
  <c r="B432" i="2"/>
  <c r="D432" i="2" s="1"/>
  <c r="B244" i="2"/>
  <c r="C244" i="2" s="1"/>
  <c r="B248" i="2"/>
  <c r="C248" i="2" s="1"/>
  <c r="B252" i="2"/>
  <c r="B255" i="2"/>
  <c r="D255" i="2" s="1"/>
  <c r="B259" i="2"/>
  <c r="D259" i="2" s="1"/>
  <c r="C259" i="2"/>
  <c r="B204" i="2"/>
  <c r="D204" i="2" s="1"/>
  <c r="B205" i="2"/>
  <c r="C205" i="2" s="1"/>
  <c r="B208" i="2"/>
  <c r="D208" i="2" s="1"/>
  <c r="C208" i="2"/>
  <c r="B211" i="2"/>
  <c r="C211" i="2" s="1"/>
  <c r="B213" i="2"/>
  <c r="C213" i="2" s="1"/>
  <c r="D213" i="2"/>
  <c r="B215" i="2"/>
  <c r="B218" i="2"/>
  <c r="D218" i="2" s="1"/>
  <c r="B216" i="2"/>
  <c r="C216" i="2" s="1"/>
  <c r="B220" i="2"/>
  <c r="D220" i="2" s="1"/>
  <c r="B236" i="2"/>
  <c r="D236" i="2" s="1"/>
  <c r="B262" i="2"/>
  <c r="D262" i="2" s="1"/>
  <c r="B408" i="2"/>
  <c r="C408" i="2" s="1"/>
  <c r="B298" i="2"/>
  <c r="C298" i="2" s="1"/>
  <c r="B197" i="2"/>
  <c r="B194" i="2"/>
  <c r="C194" i="2" s="1"/>
  <c r="B293" i="2"/>
  <c r="C293" i="2" s="1"/>
  <c r="B269" i="2"/>
  <c r="D269" i="2" s="1"/>
  <c r="B345" i="2"/>
  <c r="C345" i="2" s="1"/>
  <c r="B275" i="2"/>
  <c r="D275" i="2" s="1"/>
  <c r="B335" i="2"/>
  <c r="C335" i="2" s="1"/>
  <c r="B330" i="2"/>
  <c r="B325" i="2"/>
  <c r="B286" i="2"/>
  <c r="D286" i="2" s="1"/>
  <c r="B193" i="2"/>
  <c r="D193" i="2" s="1"/>
  <c r="C193" i="2"/>
  <c r="B312" i="2"/>
  <c r="D312" i="2" s="1"/>
  <c r="B271" i="2"/>
  <c r="D271" i="2" s="1"/>
  <c r="B289" i="2"/>
  <c r="D289" i="2" s="1"/>
  <c r="B302" i="2"/>
  <c r="C302" i="2" s="1"/>
  <c r="B300" i="2"/>
  <c r="C300" i="2" s="1"/>
  <c r="B283" i="2"/>
  <c r="B266" i="2"/>
  <c r="C266" i="2" s="1"/>
  <c r="B332" i="2"/>
  <c r="C332" i="2" s="1"/>
  <c r="B278" i="2"/>
  <c r="D278" i="2" s="1"/>
  <c r="B342" i="2"/>
  <c r="D342" i="2" s="1"/>
  <c r="B280" i="2"/>
  <c r="D280" i="2" s="1"/>
  <c r="B322" i="2"/>
  <c r="C322" i="2" s="1"/>
  <c r="B222" i="2"/>
  <c r="B227" i="2"/>
  <c r="C227" i="2" s="1"/>
  <c r="B230" i="2"/>
  <c r="C230" i="2" s="1"/>
  <c r="B234" i="2"/>
  <c r="D234" i="2" s="1"/>
  <c r="B239" i="2"/>
  <c r="C239" i="2" s="1"/>
  <c r="B243" i="2"/>
  <c r="D243" i="2" s="1"/>
  <c r="B247" i="2"/>
  <c r="C247" i="2" s="1"/>
  <c r="B251" i="2"/>
  <c r="C251" i="2" s="1"/>
  <c r="B254" i="2"/>
  <c r="B258" i="2"/>
  <c r="C258" i="2" s="1"/>
  <c r="B203" i="2"/>
  <c r="B207" i="2"/>
  <c r="D207" i="2" s="1"/>
  <c r="B210" i="2"/>
  <c r="C210" i="2"/>
  <c r="D210" i="2"/>
  <c r="B261" i="2"/>
  <c r="B297" i="2"/>
  <c r="C297" i="2" s="1"/>
  <c r="B196" i="2"/>
  <c r="C196" i="2" s="1"/>
  <c r="B292" i="2"/>
  <c r="B268" i="2"/>
  <c r="D268" i="2" s="1"/>
  <c r="C268" i="2"/>
  <c r="B344" i="2"/>
  <c r="B274" i="2"/>
  <c r="D274" i="2" s="1"/>
  <c r="B334" i="2"/>
  <c r="D334" i="2" s="1"/>
  <c r="B329" i="2"/>
  <c r="D329" i="2" s="1"/>
  <c r="B324" i="2"/>
  <c r="C324" i="2" s="1"/>
  <c r="B192" i="2"/>
  <c r="C192" i="2" s="1"/>
  <c r="B311" i="2"/>
  <c r="B288" i="2"/>
  <c r="C288" i="2" s="1"/>
  <c r="D288" i="2"/>
  <c r="B282" i="2"/>
  <c r="C282" i="2" s="1"/>
  <c r="B221" i="2"/>
  <c r="B225" i="2"/>
  <c r="D225" i="2" s="1"/>
  <c r="B229" i="2"/>
  <c r="C229" i="2" s="1"/>
  <c r="B233" i="2"/>
  <c r="C233" i="2" s="1"/>
  <c r="B238" i="2"/>
  <c r="B242" i="2"/>
  <c r="D242" i="2" s="1"/>
  <c r="C242" i="2"/>
  <c r="B246" i="2"/>
  <c r="D246" i="2" s="1"/>
  <c r="B250" i="2"/>
  <c r="D250" i="2" s="1"/>
  <c r="B253" i="2"/>
  <c r="C253" i="2" s="1"/>
  <c r="B257" i="2"/>
  <c r="D257" i="2" s="1"/>
  <c r="C257" i="2"/>
  <c r="B202" i="2"/>
  <c r="C202" i="2" s="1"/>
  <c r="B206" i="2"/>
  <c r="C206" i="2" s="1"/>
  <c r="B209" i="2"/>
  <c r="B212" i="2"/>
  <c r="D212" i="2" s="1"/>
  <c r="B214" i="2"/>
  <c r="C214" i="2" s="1"/>
  <c r="B217" i="2"/>
  <c r="D217" i="2" s="1"/>
  <c r="B219" i="2"/>
  <c r="D219" i="2" s="1"/>
  <c r="C219" i="2"/>
  <c r="B200" i="2"/>
  <c r="D200" i="2" s="1"/>
  <c r="B260" i="2"/>
  <c r="C260" i="2" s="1"/>
  <c r="B296" i="2"/>
  <c r="C296" i="2" s="1"/>
  <c r="B195" i="2"/>
  <c r="B291" i="2"/>
  <c r="C291" i="2" s="1"/>
  <c r="B267" i="2"/>
  <c r="D267" i="2" s="1"/>
  <c r="C267" i="2"/>
  <c r="B343" i="2"/>
  <c r="D343" i="2" s="1"/>
  <c r="C343" i="2"/>
  <c r="B273" i="2"/>
  <c r="B333" i="2"/>
  <c r="D333" i="2" s="1"/>
  <c r="B328" i="2"/>
  <c r="C328" i="2" s="1"/>
  <c r="B323" i="2"/>
  <c r="C323" i="2" s="1"/>
  <c r="B285" i="2"/>
  <c r="B191" i="2"/>
  <c r="B310" i="2"/>
  <c r="D310" i="2" s="1"/>
  <c r="B287" i="2"/>
  <c r="D287" i="2" s="1"/>
  <c r="B301" i="2"/>
  <c r="D301" i="2" s="1"/>
  <c r="B299" i="2"/>
  <c r="B281" i="2"/>
  <c r="C281" i="2" s="1"/>
  <c r="B265" i="2"/>
  <c r="C265" i="2" s="1"/>
  <c r="B331" i="2"/>
  <c r="B277" i="2"/>
  <c r="C277" i="2" s="1"/>
  <c r="B279" i="2"/>
  <c r="C279" i="2" s="1"/>
  <c r="B321" i="2"/>
  <c r="D321" i="2" s="1"/>
  <c r="B320" i="2"/>
  <c r="C320" i="2" s="1"/>
  <c r="B272" i="2"/>
  <c r="D272" i="2" s="1"/>
  <c r="B315" i="2"/>
  <c r="C315" i="2" s="1"/>
  <c r="B347" i="2"/>
  <c r="C347" i="2" s="1"/>
  <c r="B327" i="2"/>
  <c r="B339" i="2"/>
  <c r="D339" i="2" s="1"/>
  <c r="B338" i="2"/>
  <c r="C338" i="2" s="1"/>
  <c r="B201" i="2"/>
  <c r="D201" i="2" s="1"/>
  <c r="C201" i="2"/>
  <c r="B314" i="2"/>
  <c r="D314" i="2" s="1"/>
  <c r="B337" i="2"/>
  <c r="D337" i="2" s="1"/>
  <c r="B319" i="2"/>
  <c r="C319" i="2" s="1"/>
  <c r="B190" i="2"/>
  <c r="C190" i="2" s="1"/>
  <c r="B309" i="2"/>
  <c r="B340" i="2"/>
  <c r="D340" i="2" s="1"/>
  <c r="B198" i="2"/>
  <c r="D198" i="2" s="1"/>
  <c r="B308" i="2"/>
  <c r="D308" i="2" s="1"/>
  <c r="B303" i="2"/>
  <c r="D303" i="2" s="1"/>
  <c r="B341" i="2"/>
  <c r="D341" i="2" s="1"/>
  <c r="B295" i="2"/>
  <c r="C295" i="2" s="1"/>
  <c r="B346" i="2"/>
  <c r="C346" i="2" s="1"/>
  <c r="B224" i="2"/>
  <c r="C224" i="2" s="1"/>
  <c r="B228" i="2"/>
  <c r="C228" i="2" s="1"/>
  <c r="D228" i="2"/>
  <c r="B232" i="2"/>
  <c r="D232" i="2" s="1"/>
  <c r="B237" i="2"/>
  <c r="C237" i="2" s="1"/>
  <c r="B241" i="2"/>
  <c r="D241" i="2" s="1"/>
  <c r="B245" i="2"/>
  <c r="C245" i="2" s="1"/>
  <c r="B249" i="2"/>
  <c r="C249" i="2" s="1"/>
  <c r="D249" i="2"/>
  <c r="B256" i="2"/>
  <c r="B263" i="2"/>
  <c r="D263" i="2" s="1"/>
  <c r="B199" i="2"/>
  <c r="D199" i="2" s="1"/>
  <c r="B294" i="2"/>
  <c r="D294" i="2" s="1"/>
  <c r="B270" i="2"/>
  <c r="C270" i="2" s="1"/>
  <c r="D270" i="2"/>
  <c r="B276" i="2"/>
  <c r="D276" i="2" s="1"/>
  <c r="C276" i="2"/>
  <c r="B336" i="2"/>
  <c r="C336" i="2" s="1"/>
  <c r="B326" i="2"/>
  <c r="C326" i="2" s="1"/>
  <c r="B313" i="2"/>
  <c r="B290" i="2"/>
  <c r="D290" i="2" s="1"/>
  <c r="C290" i="2"/>
  <c r="B284" i="2"/>
  <c r="C284" i="2" s="1"/>
  <c r="B264" i="2"/>
  <c r="D264" i="2" s="1"/>
  <c r="B304" i="2"/>
  <c r="D304" i="2" s="1"/>
  <c r="B305" i="2"/>
  <c r="C305" i="2" s="1"/>
  <c r="B306" i="2"/>
  <c r="C306" i="2" s="1"/>
  <c r="B307" i="2"/>
  <c r="B318" i="2"/>
  <c r="C318" i="2" s="1"/>
  <c r="D318" i="2"/>
  <c r="B316" i="2"/>
  <c r="C316" i="2" s="1"/>
  <c r="B317" i="2"/>
  <c r="D317" i="2" s="1"/>
  <c r="B356" i="2"/>
  <c r="D356" i="2" s="1"/>
  <c r="B355" i="2"/>
  <c r="C355" i="2" s="1"/>
  <c r="B357" i="2"/>
  <c r="C357" i="2" s="1"/>
  <c r="B359" i="2"/>
  <c r="B358" i="2"/>
  <c r="D358" i="2" s="1"/>
  <c r="C358" i="2"/>
  <c r="B361" i="2"/>
  <c r="D361" i="2" s="1"/>
  <c r="B360" i="2"/>
  <c r="D360" i="2" s="1"/>
  <c r="B363" i="2"/>
  <c r="D363" i="2" s="1"/>
  <c r="B362" i="2"/>
  <c r="D362" i="2" s="1"/>
  <c r="B348" i="2"/>
  <c r="C348" i="2" s="1"/>
  <c r="B365" i="2"/>
  <c r="C365" i="2" s="1"/>
  <c r="D365" i="2"/>
  <c r="B364" i="2"/>
  <c r="B366" i="2"/>
  <c r="C366" i="2" s="1"/>
  <c r="B368" i="2"/>
  <c r="C368" i="2" s="1"/>
  <c r="D368" i="2"/>
  <c r="B367" i="2"/>
  <c r="D367" i="2" s="1"/>
  <c r="B352" i="2"/>
  <c r="C352" i="2" s="1"/>
  <c r="B353" i="2"/>
  <c r="D353" i="2" s="1"/>
  <c r="B354" i="2"/>
  <c r="C354" i="2" s="1"/>
  <c r="B381" i="2"/>
  <c r="B380" i="2"/>
  <c r="C380" i="2"/>
  <c r="D380" i="2"/>
  <c r="B379" i="2"/>
  <c r="C379" i="2" s="1"/>
  <c r="B378" i="2"/>
  <c r="D378" i="2" s="1"/>
  <c r="B397" i="2"/>
  <c r="D397" i="2" s="1"/>
  <c r="C397" i="2"/>
  <c r="B396" i="2"/>
  <c r="D396" i="2" s="1"/>
  <c r="B349" i="2"/>
  <c r="C349" i="2" s="1"/>
  <c r="B351" i="2"/>
  <c r="C351" i="2" s="1"/>
  <c r="B350" i="2"/>
  <c r="B371" i="2"/>
  <c r="C371" i="2" s="1"/>
  <c r="B370" i="2"/>
  <c r="D370" i="2" s="1"/>
  <c r="B373" i="2"/>
  <c r="D373" i="2" s="1"/>
  <c r="B372" i="2"/>
  <c r="C372" i="2" s="1"/>
  <c r="B398" i="2"/>
  <c r="D398" i="2" s="1"/>
  <c r="C398" i="2"/>
  <c r="B375" i="2"/>
  <c r="C375" i="2" s="1"/>
  <c r="B374" i="2"/>
  <c r="C374" i="2" s="1"/>
  <c r="B377" i="2"/>
  <c r="B376" i="2"/>
  <c r="D376" i="2" s="1"/>
  <c r="C376" i="2"/>
  <c r="B383" i="2"/>
  <c r="D383" i="2" s="1"/>
  <c r="C383" i="2"/>
  <c r="B382" i="2"/>
  <c r="D382" i="2" s="1"/>
  <c r="B384" i="2"/>
  <c r="D384" i="2" s="1"/>
  <c r="B385" i="2"/>
  <c r="D385" i="2" s="1"/>
  <c r="B386" i="2"/>
  <c r="C386" i="2" s="1"/>
  <c r="B394" i="2"/>
  <c r="C394" i="2" s="1"/>
  <c r="D394" i="2"/>
  <c r="B388" i="2"/>
  <c r="B387" i="2"/>
  <c r="D387" i="2" s="1"/>
  <c r="B399" i="2"/>
  <c r="D399" i="2" s="1"/>
  <c r="B389" i="2"/>
  <c r="D389" i="2" s="1"/>
  <c r="B391" i="2"/>
  <c r="D391" i="2" s="1"/>
  <c r="B390" i="2"/>
  <c r="D390" i="2" s="1"/>
  <c r="B393" i="2"/>
  <c r="C393" i="2" s="1"/>
  <c r="B392" i="2"/>
  <c r="C392" i="2" s="1"/>
  <c r="B395" i="2"/>
  <c r="B369" i="2"/>
  <c r="C369" i="2" s="1"/>
  <c r="D369" i="2"/>
  <c r="B409" i="2"/>
  <c r="D409" i="2" s="1"/>
  <c r="B415" i="2"/>
  <c r="D415" i="2" s="1"/>
  <c r="B421" i="2"/>
  <c r="C421" i="2" s="1"/>
  <c r="B425" i="2"/>
  <c r="C425" i="2" s="1"/>
  <c r="B428" i="2"/>
  <c r="D428" i="2" s="1"/>
  <c r="C428" i="2"/>
  <c r="B434" i="2"/>
  <c r="D434" i="2" s="1"/>
  <c r="B435" i="2"/>
  <c r="C435" i="2" s="1"/>
  <c r="B437" i="2"/>
  <c r="B157" i="2"/>
  <c r="C157" i="2" s="1"/>
  <c r="B159" i="2"/>
  <c r="D159" i="2" s="1"/>
  <c r="B160" i="2"/>
  <c r="C160" i="2" s="1"/>
  <c r="B161" i="2"/>
  <c r="C161" i="2" s="1"/>
  <c r="B162" i="2"/>
  <c r="B163" i="2"/>
  <c r="C163" i="2" s="1"/>
  <c r="B164" i="2"/>
  <c r="D164" i="2" s="1"/>
  <c r="B158" i="2"/>
  <c r="D158" i="2" s="1"/>
  <c r="B170" i="2"/>
  <c r="C170" i="2"/>
  <c r="D170" i="2"/>
  <c r="B165" i="2"/>
  <c r="D165" i="2" s="1"/>
  <c r="B168" i="2"/>
  <c r="C168" i="2" s="1"/>
  <c r="B167" i="2"/>
  <c r="C167" i="2" s="1"/>
  <c r="B175" i="2"/>
  <c r="B166" i="2"/>
  <c r="D166" i="2" s="1"/>
  <c r="B171" i="2"/>
  <c r="C171" i="2" s="1"/>
  <c r="B178" i="2"/>
  <c r="D178" i="2" s="1"/>
  <c r="B183" i="2"/>
  <c r="D183" i="2" s="1"/>
  <c r="C183" i="2"/>
  <c r="B181" i="2"/>
  <c r="D181" i="2" s="1"/>
  <c r="B188" i="2"/>
  <c r="C188" i="2" s="1"/>
  <c r="B169" i="2"/>
  <c r="C169" i="2" s="1"/>
  <c r="B174" i="2"/>
  <c r="B176" i="2"/>
  <c r="D176" i="2" s="1"/>
  <c r="B180" i="2"/>
  <c r="C180" i="2" s="1"/>
  <c r="B179" i="2"/>
  <c r="D179" i="2" s="1"/>
  <c r="B187" i="2"/>
  <c r="D187" i="2" s="1"/>
  <c r="B184" i="2"/>
  <c r="D184" i="2" s="1"/>
  <c r="B186" i="2"/>
  <c r="B189" i="2"/>
  <c r="C189" i="2" s="1"/>
  <c r="B185" i="2"/>
  <c r="C185" i="2" s="1"/>
  <c r="B182" i="2"/>
  <c r="C182" i="2" s="1"/>
  <c r="B177" i="2"/>
  <c r="D177" i="2" s="1"/>
  <c r="C177" i="2"/>
  <c r="B156" i="2"/>
  <c r="D156" i="2" s="1"/>
  <c r="B172" i="2"/>
  <c r="C172" i="2" s="1"/>
  <c r="D172" i="2"/>
  <c r="B173" i="2"/>
  <c r="D173" i="2" s="1"/>
  <c r="C173" i="2"/>
  <c r="B133" i="2"/>
  <c r="C133" i="2" s="1"/>
  <c r="D133" i="2"/>
  <c r="B138" i="2"/>
  <c r="C138" i="2" s="1"/>
  <c r="B139" i="2"/>
  <c r="D139" i="2" s="1"/>
  <c r="B140" i="2"/>
  <c r="D140" i="2" s="1"/>
  <c r="B141" i="2"/>
  <c r="D141" i="2" s="1"/>
  <c r="C141" i="2"/>
  <c r="B142" i="2"/>
  <c r="D142" i="2" s="1"/>
  <c r="C142" i="2"/>
  <c r="B143" i="2"/>
  <c r="D143" i="2" s="1"/>
  <c r="B144" i="2"/>
  <c r="B145" i="2"/>
  <c r="C145" i="2" s="1"/>
  <c r="B134" i="2"/>
  <c r="C134" i="2" s="1"/>
  <c r="B135" i="2"/>
  <c r="C135" i="2" s="1"/>
  <c r="B136" i="2"/>
  <c r="D136" i="2" s="1"/>
  <c r="C136" i="2"/>
  <c r="B137" i="2"/>
  <c r="D137" i="2" s="1"/>
  <c r="B147" i="2"/>
  <c r="C147" i="2" s="1"/>
  <c r="B151" i="2"/>
  <c r="D151" i="2" s="1"/>
  <c r="B153" i="2"/>
  <c r="B155" i="2"/>
  <c r="C155" i="2" s="1"/>
  <c r="B146" i="2"/>
  <c r="C146" i="2" s="1"/>
  <c r="D146" i="2"/>
  <c r="B154" i="2"/>
  <c r="D154" i="2" s="1"/>
  <c r="B149" i="2"/>
  <c r="D149" i="2" s="1"/>
  <c r="B148" i="2"/>
  <c r="D148" i="2" s="1"/>
  <c r="C148" i="2"/>
  <c r="B150" i="2"/>
  <c r="C150" i="2"/>
  <c r="D150" i="2"/>
  <c r="B152" i="2"/>
  <c r="D152" i="2" s="1"/>
  <c r="B401" i="2"/>
  <c r="C401" i="2" s="1"/>
  <c r="B402" i="2"/>
  <c r="C402" i="2" s="1"/>
  <c r="B403" i="2"/>
  <c r="C403" i="2" s="1"/>
  <c r="B404" i="2"/>
  <c r="C404" i="2" s="1"/>
  <c r="B405" i="2"/>
  <c r="D405" i="2" s="1"/>
  <c r="B406" i="2"/>
  <c r="C406" i="2" s="1"/>
  <c r="B410" i="2"/>
  <c r="C410" i="2" s="1"/>
  <c r="B423" i="2"/>
  <c r="D423" i="2" s="1"/>
  <c r="B427" i="2"/>
  <c r="D427" i="2" s="1"/>
  <c r="B431" i="2"/>
  <c r="C431" i="2" s="1"/>
  <c r="B436" i="2"/>
  <c r="D436" i="2" s="1"/>
  <c r="C436" i="2"/>
  <c r="B439" i="2"/>
  <c r="D439" i="2" s="1"/>
  <c r="B440" i="2"/>
  <c r="B412" i="2"/>
  <c r="C412" i="2" s="1"/>
  <c r="B430" i="2"/>
  <c r="C430" i="2" s="1"/>
  <c r="B422" i="2"/>
  <c r="C422" i="2" s="1"/>
  <c r="B400" i="2"/>
  <c r="C400" i="2" s="1"/>
  <c r="D400" i="2"/>
  <c r="B419" i="2"/>
  <c r="D419" i="2" s="1"/>
  <c r="B426" i="2"/>
  <c r="C426" i="2" s="1"/>
  <c r="B411" i="2"/>
  <c r="D411" i="2" s="1"/>
  <c r="D401" i="2" l="1"/>
  <c r="C151" i="2"/>
  <c r="C255" i="2"/>
  <c r="C103" i="2"/>
  <c r="D801" i="2"/>
  <c r="D919" i="2"/>
  <c r="C750" i="2"/>
  <c r="D818" i="2"/>
  <c r="C149" i="2"/>
  <c r="C139" i="2"/>
  <c r="C164" i="2"/>
  <c r="D157" i="2"/>
  <c r="D371" i="2"/>
  <c r="C378" i="2"/>
  <c r="D265" i="2"/>
  <c r="D293" i="2"/>
  <c r="D68" i="2"/>
  <c r="D954" i="2"/>
  <c r="D39" i="2"/>
  <c r="C981" i="2"/>
  <c r="C736" i="2"/>
  <c r="C62" i="2"/>
  <c r="C95" i="2"/>
  <c r="C993" i="2"/>
  <c r="D596" i="2"/>
  <c r="C854" i="2"/>
  <c r="C13" i="2"/>
  <c r="D13" i="2"/>
  <c r="C152" i="2"/>
  <c r="D326" i="2"/>
  <c r="C314" i="2"/>
  <c r="C329" i="2"/>
  <c r="C1044" i="2"/>
  <c r="C755" i="2"/>
  <c r="C442" i="2"/>
  <c r="D1102" i="2"/>
  <c r="C1033" i="2"/>
  <c r="C1014" i="2"/>
  <c r="C658" i="2"/>
  <c r="D490" i="2"/>
  <c r="C653" i="2"/>
  <c r="C629" i="2"/>
  <c r="D53" i="2"/>
  <c r="D716" i="2"/>
  <c r="C785" i="2"/>
  <c r="D640" i="2"/>
  <c r="D60" i="2"/>
  <c r="D644" i="2"/>
  <c r="D927" i="2"/>
  <c r="C822" i="2"/>
  <c r="C892" i="2"/>
  <c r="D627" i="2"/>
  <c r="C137" i="2"/>
  <c r="C187" i="2"/>
  <c r="D163" i="2"/>
  <c r="C263" i="2"/>
  <c r="C246" i="2"/>
  <c r="C218" i="2"/>
  <c r="D205" i="2"/>
  <c r="D248" i="2"/>
  <c r="D231" i="2"/>
  <c r="D125" i="2"/>
  <c r="C608" i="2"/>
  <c r="C494" i="2"/>
  <c r="D824" i="2"/>
  <c r="D130" i="2"/>
  <c r="C526" i="2"/>
  <c r="C1106" i="2"/>
  <c r="C589" i="2"/>
  <c r="D747" i="2"/>
  <c r="D571" i="2"/>
  <c r="D1080" i="2"/>
  <c r="C592" i="2"/>
  <c r="D775" i="2"/>
  <c r="D969" i="2"/>
  <c r="C1076" i="2"/>
  <c r="C697" i="2"/>
  <c r="C495" i="2"/>
  <c r="C966" i="2"/>
  <c r="C913" i="2"/>
  <c r="C851" i="2"/>
  <c r="C947" i="2"/>
  <c r="C904" i="2"/>
  <c r="D407" i="2"/>
  <c r="D429" i="2"/>
  <c r="D1047" i="2"/>
  <c r="D1050" i="2"/>
  <c r="D768" i="2"/>
  <c r="D610" i="2"/>
  <c r="D865" i="2"/>
  <c r="D1092" i="2"/>
  <c r="C918" i="2"/>
  <c r="D903" i="2"/>
  <c r="D1119" i="2"/>
  <c r="C439" i="2"/>
  <c r="C154" i="2"/>
  <c r="D147" i="2"/>
  <c r="C140" i="2"/>
  <c r="C176" i="2"/>
  <c r="D421" i="2"/>
  <c r="D372" i="2"/>
  <c r="C362" i="2"/>
  <c r="D357" i="2"/>
  <c r="C294" i="2"/>
  <c r="C340" i="2"/>
  <c r="D323" i="2"/>
  <c r="C236" i="2"/>
  <c r="C75" i="2"/>
  <c r="C447" i="2"/>
  <c r="D1036" i="2"/>
  <c r="C862" i="2"/>
  <c r="D847" i="2"/>
  <c r="D774" i="2"/>
  <c r="D1135" i="2"/>
  <c r="D1059" i="2"/>
  <c r="D659" i="2"/>
  <c r="C482" i="2"/>
  <c r="D455" i="2"/>
  <c r="D514" i="2"/>
  <c r="C1129" i="2"/>
  <c r="D72" i="2"/>
  <c r="C684" i="2"/>
  <c r="C560" i="2"/>
  <c r="C537" i="2"/>
  <c r="C559" i="2"/>
  <c r="D724" i="2"/>
  <c r="D924" i="2"/>
  <c r="D757" i="2"/>
  <c r="D110" i="2"/>
  <c r="C12" i="2"/>
  <c r="C424" i="2"/>
  <c r="D258" i="2"/>
  <c r="D194" i="2"/>
  <c r="D976" i="2"/>
  <c r="C880" i="2"/>
  <c r="C506" i="2"/>
  <c r="D1109" i="2"/>
  <c r="D876" i="2"/>
  <c r="C459" i="2"/>
  <c r="D1025" i="2"/>
  <c r="D64" i="2"/>
  <c r="D1077" i="2"/>
  <c r="D487" i="2"/>
  <c r="C599" i="2"/>
  <c r="C573" i="2"/>
  <c r="C127" i="2"/>
  <c r="D836" i="2"/>
  <c r="D999" i="2"/>
  <c r="D669" i="2"/>
  <c r="C703" i="2"/>
  <c r="D686" i="2"/>
  <c r="C681" i="2"/>
  <c r="C1112" i="2"/>
  <c r="D944" i="2"/>
  <c r="D730" i="2"/>
  <c r="D590" i="2"/>
  <c r="C961" i="2"/>
  <c r="D930" i="2"/>
  <c r="C923" i="2"/>
  <c r="D756" i="2"/>
  <c r="C16" i="2"/>
  <c r="D169" i="2"/>
  <c r="C166" i="2"/>
  <c r="D161" i="2"/>
  <c r="C409" i="2"/>
  <c r="C391" i="2"/>
  <c r="C370" i="2"/>
  <c r="D237" i="2"/>
  <c r="C341" i="2"/>
  <c r="D190" i="2"/>
  <c r="D338" i="2"/>
  <c r="D282" i="2"/>
  <c r="D230" i="2"/>
  <c r="D332" i="2"/>
  <c r="C312" i="2"/>
  <c r="C275" i="2"/>
  <c r="C108" i="2"/>
  <c r="C932" i="2"/>
  <c r="D886" i="2"/>
  <c r="C1098" i="2"/>
  <c r="C864" i="2"/>
  <c r="D700" i="2"/>
  <c r="C486" i="2"/>
  <c r="D637" i="2"/>
  <c r="D717" i="2"/>
  <c r="D651" i="2"/>
  <c r="C547" i="2"/>
  <c r="D780" i="2"/>
  <c r="C860" i="2"/>
  <c r="D1110" i="2"/>
  <c r="C998" i="2"/>
  <c r="D998" i="2"/>
  <c r="C1041" i="2"/>
  <c r="D1041" i="2"/>
  <c r="C616" i="2"/>
  <c r="D616" i="2"/>
  <c r="C513" i="2"/>
  <c r="D513" i="2"/>
  <c r="D581" i="2"/>
  <c r="C581" i="2"/>
  <c r="C363" i="2"/>
  <c r="C317" i="2"/>
  <c r="C232" i="2"/>
  <c r="D191" i="2"/>
  <c r="C191" i="2"/>
  <c r="C203" i="2"/>
  <c r="D203" i="2"/>
  <c r="C280" i="2"/>
  <c r="D300" i="2"/>
  <c r="C204" i="2"/>
  <c r="D123" i="2"/>
  <c r="C123" i="2"/>
  <c r="D1053" i="2"/>
  <c r="C1053" i="2"/>
  <c r="D1069" i="2"/>
  <c r="D1072" i="2"/>
  <c r="C460" i="2"/>
  <c r="C841" i="2"/>
  <c r="D841" i="2"/>
  <c r="C871" i="2"/>
  <c r="D585" i="2"/>
  <c r="D546" i="2"/>
  <c r="D909" i="2"/>
  <c r="C909" i="2"/>
  <c r="D983" i="2"/>
  <c r="D986" i="2"/>
  <c r="C687" i="2"/>
  <c r="C677" i="2"/>
  <c r="D907" i="2"/>
  <c r="C907" i="2"/>
  <c r="C942" i="2"/>
  <c r="D942" i="2"/>
  <c r="C273" i="2"/>
  <c r="D273" i="2"/>
  <c r="C1049" i="2"/>
  <c r="D1049" i="2"/>
  <c r="C609" i="2"/>
  <c r="D609" i="2"/>
  <c r="D182" i="2"/>
  <c r="D167" i="2"/>
  <c r="C158" i="2"/>
  <c r="D425" i="2"/>
  <c r="C399" i="2"/>
  <c r="C1051" i="2"/>
  <c r="C796" i="2"/>
  <c r="C959" i="2"/>
  <c r="C643" i="2"/>
  <c r="D643" i="2"/>
  <c r="C763" i="2"/>
  <c r="D763" i="2"/>
  <c r="D47" i="2"/>
  <c r="C47" i="2"/>
  <c r="C613" i="2"/>
  <c r="D613" i="2"/>
  <c r="D539" i="2"/>
  <c r="C664" i="2"/>
  <c r="D664" i="2"/>
  <c r="D646" i="2"/>
  <c r="C646" i="2"/>
  <c r="D793" i="2"/>
  <c r="C793" i="2"/>
  <c r="D344" i="2"/>
  <c r="C344" i="2"/>
  <c r="D1000" i="2"/>
  <c r="C1000" i="2"/>
  <c r="C512" i="2"/>
  <c r="D512" i="2"/>
  <c r="C114" i="2"/>
  <c r="D114" i="2"/>
  <c r="C1001" i="2"/>
  <c r="D1001" i="2"/>
  <c r="C17" i="2"/>
  <c r="D17" i="2"/>
  <c r="C384" i="2"/>
  <c r="D374" i="2"/>
  <c r="C373" i="2"/>
  <c r="C360" i="2"/>
  <c r="D316" i="2"/>
  <c r="C1085" i="2"/>
  <c r="D982" i="2"/>
  <c r="D744" i="2"/>
  <c r="C32" i="2"/>
  <c r="D32" i="2"/>
  <c r="C1122" i="2"/>
  <c r="D1122" i="2"/>
  <c r="C795" i="2"/>
  <c r="D795" i="2"/>
  <c r="D1009" i="2"/>
  <c r="C570" i="2"/>
  <c r="D570" i="2"/>
  <c r="D554" i="2"/>
  <c r="C554" i="2"/>
  <c r="C721" i="2"/>
  <c r="D721" i="2"/>
  <c r="C1004" i="2"/>
  <c r="D917" i="2"/>
  <c r="C917" i="2"/>
  <c r="C94" i="2"/>
  <c r="D94" i="2"/>
  <c r="C948" i="2"/>
  <c r="D948" i="2"/>
  <c r="C387" i="2"/>
  <c r="D379" i="2"/>
  <c r="C303" i="2"/>
  <c r="D299" i="2"/>
  <c r="C299" i="2"/>
  <c r="D253" i="2"/>
  <c r="D261" i="2"/>
  <c r="C261" i="2"/>
  <c r="C330" i="2"/>
  <c r="D330" i="2"/>
  <c r="C124" i="2"/>
  <c r="D124" i="2"/>
  <c r="D446" i="2"/>
  <c r="C446" i="2"/>
  <c r="C965" i="2"/>
  <c r="D451" i="2"/>
  <c r="D1113" i="2"/>
  <c r="C621" i="2"/>
  <c r="D661" i="2"/>
  <c r="D23" i="2"/>
  <c r="D1121" i="2"/>
  <c r="D121" i="2"/>
  <c r="C121" i="2"/>
  <c r="C977" i="2"/>
  <c r="C678" i="2"/>
  <c r="D688" i="2"/>
  <c r="D936" i="2"/>
  <c r="C936" i="2"/>
  <c r="D1090" i="2"/>
  <c r="C1090" i="2"/>
  <c r="D698" i="2"/>
  <c r="C698" i="2"/>
  <c r="C221" i="2"/>
  <c r="D221" i="2"/>
  <c r="D1114" i="2"/>
  <c r="C1114" i="2"/>
  <c r="D517" i="2"/>
  <c r="C517" i="2"/>
  <c r="D403" i="2"/>
  <c r="D135" i="2"/>
  <c r="C156" i="2"/>
  <c r="C165" i="2"/>
  <c r="C390" i="2"/>
  <c r="C361" i="2"/>
  <c r="C356" i="2"/>
  <c r="C199" i="2"/>
  <c r="D224" i="2"/>
  <c r="C339" i="2"/>
  <c r="D279" i="2"/>
  <c r="C301" i="2"/>
  <c r="C212" i="2"/>
  <c r="D733" i="2"/>
  <c r="C733" i="2"/>
  <c r="C1138" i="2"/>
  <c r="D1035" i="2"/>
  <c r="C1035" i="2"/>
  <c r="C898" i="2"/>
  <c r="C491" i="2"/>
  <c r="D491" i="2"/>
  <c r="C535" i="2"/>
  <c r="C882" i="2"/>
  <c r="C477" i="2"/>
  <c r="D477" i="2"/>
  <c r="C794" i="2"/>
  <c r="C102" i="2"/>
  <c r="C737" i="2"/>
  <c r="D737" i="2"/>
  <c r="C99" i="2"/>
  <c r="C70" i="2"/>
  <c r="D70" i="2"/>
  <c r="D980" i="2"/>
  <c r="C674" i="2"/>
  <c r="D674" i="2"/>
  <c r="D692" i="2"/>
  <c r="C934" i="2"/>
  <c r="C1115" i="2"/>
  <c r="D1115" i="2"/>
  <c r="C287" i="2"/>
  <c r="D206" i="2"/>
  <c r="C250" i="2"/>
  <c r="D233" i="2"/>
  <c r="C1087" i="2"/>
  <c r="D1078" i="2"/>
  <c r="C943" i="2"/>
  <c r="D754" i="2"/>
  <c r="C753" i="2"/>
  <c r="C1118" i="2"/>
  <c r="D726" i="2"/>
  <c r="C520" i="2"/>
  <c r="D1063" i="2"/>
  <c r="C593" i="2"/>
  <c r="C34" i="2"/>
  <c r="D22" i="2"/>
  <c r="D6" i="2"/>
  <c r="C1116" i="2"/>
  <c r="C569" i="2"/>
  <c r="C565" i="2"/>
  <c r="C798" i="2"/>
  <c r="D740" i="2"/>
  <c r="D597" i="2"/>
  <c r="C1006" i="2"/>
  <c r="C648" i="2"/>
  <c r="D620" i="2"/>
  <c r="D776" i="2"/>
  <c r="D666" i="2"/>
  <c r="C957" i="2"/>
  <c r="C896" i="2"/>
  <c r="C760" i="2"/>
  <c r="C1104" i="2"/>
  <c r="C334" i="2"/>
  <c r="D196" i="2"/>
  <c r="C207" i="2"/>
  <c r="C289" i="2"/>
  <c r="C286" i="2"/>
  <c r="D345" i="2"/>
  <c r="D240" i="2"/>
  <c r="D73" i="2"/>
  <c r="D67" i="2"/>
  <c r="C198" i="2"/>
  <c r="C337" i="2"/>
  <c r="C310" i="2"/>
  <c r="C333" i="2"/>
  <c r="D1086" i="2"/>
  <c r="C884" i="2"/>
  <c r="C499" i="2"/>
  <c r="C528" i="2"/>
  <c r="C489" i="2"/>
  <c r="C1105" i="2"/>
  <c r="C751" i="2"/>
  <c r="C720" i="2"/>
  <c r="C848" i="2"/>
  <c r="C452" i="2"/>
  <c r="D728" i="2"/>
  <c r="C968" i="2"/>
  <c r="D518" i="2"/>
  <c r="C618" i="2"/>
  <c r="C33" i="2"/>
  <c r="D5" i="2"/>
  <c r="C1064" i="2"/>
  <c r="D473" i="2"/>
  <c r="D1083" i="2"/>
  <c r="D1003" i="2"/>
  <c r="D1012" i="2"/>
  <c r="D838" i="2"/>
  <c r="D989" i="2"/>
  <c r="D501" i="2"/>
  <c r="D869" i="2"/>
  <c r="D641" i="2"/>
  <c r="D18" i="2"/>
  <c r="D291" i="2"/>
  <c r="C271" i="2"/>
  <c r="C269" i="2"/>
  <c r="C235" i="2"/>
  <c r="C1134" i="2"/>
  <c r="C960" i="2"/>
  <c r="C1148" i="2"/>
  <c r="C611" i="2"/>
  <c r="C1074" i="2"/>
  <c r="C462" i="2"/>
  <c r="D842" i="2"/>
  <c r="C603" i="2"/>
  <c r="C588" i="2"/>
  <c r="C574" i="2"/>
  <c r="D827" i="2"/>
  <c r="C561" i="2"/>
  <c r="C633" i="2"/>
  <c r="C100" i="2"/>
  <c r="C82" i="2"/>
  <c r="C814" i="2"/>
  <c r="D606" i="2"/>
  <c r="C564" i="2"/>
  <c r="D953" i="2"/>
  <c r="D914" i="2"/>
  <c r="C902" i="2"/>
  <c r="D990" i="2"/>
  <c r="D1141" i="2"/>
  <c r="D1142" i="2"/>
  <c r="D449" i="2"/>
  <c r="D628" i="2"/>
  <c r="C628" i="2"/>
  <c r="D656" i="2"/>
  <c r="C656" i="2"/>
  <c r="C623" i="2"/>
  <c r="D623" i="2"/>
  <c r="D77" i="2"/>
  <c r="C77" i="2"/>
  <c r="C881" i="2"/>
  <c r="D881" i="2"/>
  <c r="C93" i="2"/>
  <c r="D93" i="2"/>
  <c r="C732" i="2"/>
  <c r="D732" i="2"/>
  <c r="D800" i="2"/>
  <c r="C800" i="2"/>
  <c r="D857" i="2"/>
  <c r="C857" i="2"/>
  <c r="D971" i="2"/>
  <c r="C971" i="2"/>
  <c r="D929" i="2"/>
  <c r="C929" i="2"/>
  <c r="D941" i="2"/>
  <c r="C941" i="2"/>
  <c r="C419" i="2"/>
  <c r="D430" i="2"/>
  <c r="C423" i="2"/>
  <c r="C415" i="2"/>
  <c r="D351" i="2"/>
  <c r="C367" i="2"/>
  <c r="C241" i="2"/>
  <c r="D347" i="2"/>
  <c r="C321" i="2"/>
  <c r="C225" i="2"/>
  <c r="D251" i="2"/>
  <c r="C234" i="2"/>
  <c r="C278" i="2"/>
  <c r="C432" i="2"/>
  <c r="D56" i="2"/>
  <c r="C132" i="2"/>
  <c r="D946" i="2"/>
  <c r="D970" i="2"/>
  <c r="C970" i="2"/>
  <c r="C552" i="2"/>
  <c r="D877" i="2"/>
  <c r="C877" i="2"/>
  <c r="C534" i="2"/>
  <c r="C657" i="2"/>
  <c r="D657" i="2"/>
  <c r="D98" i="2"/>
  <c r="C98" i="2"/>
  <c r="C1" i="2"/>
  <c r="H587" i="3" s="1"/>
  <c r="D1" i="2"/>
  <c r="D480" i="2"/>
  <c r="C480" i="2"/>
  <c r="D471" i="2"/>
  <c r="C471" i="2"/>
  <c r="C1048" i="2"/>
  <c r="D91" i="2"/>
  <c r="C91" i="2"/>
  <c r="D51" i="2"/>
  <c r="D671" i="2"/>
  <c r="C671" i="2"/>
  <c r="C699" i="2"/>
  <c r="D1123" i="2"/>
  <c r="C1123" i="2"/>
  <c r="C567" i="2"/>
  <c r="D567" i="2"/>
  <c r="C782" i="2"/>
  <c r="D782" i="2"/>
  <c r="D654" i="2"/>
  <c r="C654" i="2"/>
  <c r="D647" i="2"/>
  <c r="C550" i="2"/>
  <c r="D550" i="2"/>
  <c r="D84" i="2"/>
  <c r="D1032" i="2"/>
  <c r="D555" i="2"/>
  <c r="C849" i="2"/>
  <c r="D849" i="2"/>
  <c r="C568" i="2"/>
  <c r="C533" i="2"/>
  <c r="D533" i="2"/>
  <c r="D978" i="2"/>
  <c r="C978" i="2"/>
  <c r="C928" i="2"/>
  <c r="D928" i="2"/>
  <c r="D1133" i="2"/>
  <c r="C1133" i="2"/>
  <c r="C470" i="2"/>
  <c r="D470" i="2"/>
  <c r="C41" i="2"/>
  <c r="D41" i="2"/>
  <c r="C974" i="2"/>
  <c r="D974" i="2"/>
  <c r="C817" i="2"/>
  <c r="D817" i="2"/>
  <c r="D739" i="2"/>
  <c r="C739" i="2"/>
  <c r="C679" i="2"/>
  <c r="D679" i="2"/>
  <c r="C719" i="2"/>
  <c r="D719" i="2"/>
  <c r="D116" i="2"/>
  <c r="C116" i="2"/>
  <c r="C126" i="2"/>
  <c r="D126" i="2"/>
  <c r="D540" i="2"/>
  <c r="C540" i="2"/>
  <c r="C765" i="2"/>
  <c r="D765" i="2"/>
  <c r="C109" i="2"/>
  <c r="D109" i="2"/>
  <c r="C411" i="2"/>
  <c r="C405" i="2"/>
  <c r="D189" i="2"/>
  <c r="C179" i="2"/>
  <c r="C178" i="2"/>
  <c r="C353" i="2"/>
  <c r="D306" i="2"/>
  <c r="C264" i="2"/>
  <c r="C272" i="2"/>
  <c r="D296" i="2"/>
  <c r="C217" i="2"/>
  <c r="C243" i="2"/>
  <c r="D298" i="2"/>
  <c r="C220" i="2"/>
  <c r="C81" i="2"/>
  <c r="C1139" i="2"/>
  <c r="D1139" i="2"/>
  <c r="D1020" i="2"/>
  <c r="D1046" i="2"/>
  <c r="C1022" i="2"/>
  <c r="C1013" i="2"/>
  <c r="C964" i="2"/>
  <c r="D645" i="2"/>
  <c r="C1042" i="2"/>
  <c r="C738" i="2"/>
  <c r="D563" i="2"/>
  <c r="C563" i="2"/>
  <c r="D523" i="2"/>
  <c r="C523" i="2"/>
  <c r="C1149" i="2"/>
  <c r="D30" i="2"/>
  <c r="D25" i="2"/>
  <c r="C25" i="2"/>
  <c r="C1091" i="2"/>
  <c r="D1091" i="2"/>
  <c r="C478" i="2"/>
  <c r="D478" i="2"/>
  <c r="D1060" i="2"/>
  <c r="C88" i="2"/>
  <c r="D88" i="2"/>
  <c r="C117" i="2"/>
  <c r="D117" i="2"/>
  <c r="C49" i="2"/>
  <c r="D49" i="2"/>
  <c r="C672" i="2"/>
  <c r="C636" i="2"/>
  <c r="D636" i="2"/>
  <c r="C861" i="2"/>
  <c r="D861" i="2"/>
  <c r="C530" i="2"/>
  <c r="D530" i="2"/>
  <c r="C453" i="2"/>
  <c r="D453" i="2"/>
  <c r="D788" i="2"/>
  <c r="C788" i="2"/>
  <c r="C1082" i="2"/>
  <c r="D1082" i="2"/>
  <c r="C790" i="2"/>
  <c r="D790" i="2"/>
  <c r="C741" i="2"/>
  <c r="C958" i="2"/>
  <c r="D958" i="2"/>
  <c r="D783" i="2"/>
  <c r="C783" i="2"/>
  <c r="C1071" i="2"/>
  <c r="D1071" i="2"/>
  <c r="C887" i="2"/>
  <c r="D887" i="2"/>
  <c r="C617" i="2"/>
  <c r="D617" i="2"/>
  <c r="C45" i="2"/>
  <c r="D45" i="2"/>
  <c r="C894" i="2"/>
  <c r="D894" i="2"/>
  <c r="D50" i="2"/>
  <c r="C50" i="2"/>
  <c r="C1108" i="2"/>
  <c r="D1108" i="2"/>
  <c r="D614" i="2"/>
  <c r="C614" i="2"/>
  <c r="D991" i="2"/>
  <c r="C991" i="2"/>
  <c r="C9" i="2"/>
  <c r="D9" i="2"/>
  <c r="C485" i="2"/>
  <c r="D485" i="2"/>
  <c r="D828" i="2"/>
  <c r="C87" i="2"/>
  <c r="D78" i="2"/>
  <c r="C78" i="2"/>
  <c r="C48" i="2"/>
  <c r="D48" i="2"/>
  <c r="D42" i="2"/>
  <c r="C42" i="2"/>
  <c r="D587" i="2"/>
  <c r="C587" i="2"/>
  <c r="C691" i="2"/>
  <c r="D691" i="2"/>
  <c r="C1075" i="2"/>
  <c r="D1075" i="2"/>
  <c r="C632" i="2"/>
  <c r="D632" i="2"/>
  <c r="D594" i="2"/>
  <c r="D813" i="2"/>
  <c r="C813" i="2"/>
  <c r="C532" i="2"/>
  <c r="D532" i="2"/>
  <c r="C710" i="2"/>
  <c r="D710" i="2"/>
  <c r="D808" i="2"/>
  <c r="C1081" i="2"/>
  <c r="D1081" i="2"/>
  <c r="D55" i="2"/>
  <c r="C55" i="2"/>
  <c r="C582" i="2"/>
  <c r="D582" i="2"/>
  <c r="D897" i="2"/>
  <c r="C481" i="2"/>
  <c r="D481" i="2"/>
  <c r="C461" i="2"/>
  <c r="D461" i="2"/>
  <c r="C745" i="2"/>
  <c r="D745" i="2"/>
  <c r="C511" i="2"/>
  <c r="D511" i="2"/>
  <c r="D1073" i="2"/>
  <c r="C1073" i="2"/>
  <c r="C496" i="2"/>
  <c r="D496" i="2"/>
  <c r="D933" i="2"/>
  <c r="C933" i="2"/>
  <c r="C972" i="2"/>
  <c r="D972" i="2"/>
  <c r="D180" i="2"/>
  <c r="D171" i="2"/>
  <c r="D352" i="2"/>
  <c r="D366" i="2"/>
  <c r="D284" i="2"/>
  <c r="D320" i="2"/>
  <c r="D277" i="2"/>
  <c r="D214" i="2"/>
  <c r="D239" i="2"/>
  <c r="D227" i="2"/>
  <c r="D266" i="2"/>
  <c r="D216" i="2"/>
  <c r="D76" i="2"/>
  <c r="D71" i="2"/>
  <c r="D1056" i="2"/>
  <c r="C1056" i="2"/>
  <c r="D1045" i="2"/>
  <c r="D997" i="2"/>
  <c r="C749" i="2"/>
  <c r="D749" i="2"/>
  <c r="D832" i="2"/>
  <c r="C832" i="2"/>
  <c r="C735" i="2"/>
  <c r="D735" i="2"/>
  <c r="D1145" i="2"/>
  <c r="C1145" i="2"/>
  <c r="C29" i="2"/>
  <c r="D8" i="2"/>
  <c r="C8" i="2"/>
  <c r="H588" i="3" s="1"/>
  <c r="D463" i="2"/>
  <c r="C107" i="2"/>
  <c r="C74" i="2"/>
  <c r="D74" i="2"/>
  <c r="C65" i="2"/>
  <c r="D65" i="2"/>
  <c r="D873" i="2"/>
  <c r="C557" i="2"/>
  <c r="D557" i="2"/>
  <c r="C639" i="2"/>
  <c r="D639" i="2"/>
  <c r="D821" i="2"/>
  <c r="C821" i="2"/>
  <c r="C714" i="2"/>
  <c r="D714" i="2"/>
  <c r="C111" i="2"/>
  <c r="D111" i="2"/>
  <c r="D1021" i="2"/>
  <c r="C1021" i="2"/>
  <c r="C1019" i="2"/>
  <c r="D1019" i="2"/>
  <c r="D729" i="2"/>
  <c r="C729" i="2"/>
  <c r="D709" i="2"/>
  <c r="D576" i="2"/>
  <c r="C576" i="2"/>
  <c r="D538" i="2"/>
  <c r="C538" i="2"/>
  <c r="D878" i="2"/>
  <c r="C878" i="2"/>
  <c r="D810" i="2"/>
  <c r="C810" i="2"/>
  <c r="C683" i="2"/>
  <c r="D683" i="2"/>
  <c r="C912" i="2"/>
  <c r="D912" i="2"/>
  <c r="C96" i="2"/>
  <c r="D96" i="2"/>
  <c r="D448" i="2"/>
  <c r="C448" i="2"/>
  <c r="D503" i="2"/>
  <c r="C503" i="2"/>
  <c r="D479" i="2"/>
  <c r="C479" i="2"/>
  <c r="D119" i="2"/>
  <c r="C119" i="2"/>
  <c r="C541" i="2"/>
  <c r="D541" i="2"/>
  <c r="D426" i="2"/>
  <c r="D422" i="2"/>
  <c r="D410" i="2"/>
  <c r="D404" i="2"/>
  <c r="D402" i="2"/>
  <c r="C184" i="2"/>
  <c r="D392" i="2"/>
  <c r="C389" i="2"/>
  <c r="C382" i="2"/>
  <c r="C304" i="2"/>
  <c r="D346" i="2"/>
  <c r="C308" i="2"/>
  <c r="C200" i="2"/>
  <c r="D192" i="2"/>
  <c r="C274" i="2"/>
  <c r="C342" i="2"/>
  <c r="C262" i="2"/>
  <c r="D223" i="2"/>
  <c r="C104" i="2"/>
  <c r="C1094" i="2"/>
  <c r="C1128" i="2"/>
  <c r="C1016" i="2"/>
  <c r="D889" i="2"/>
  <c r="C889" i="2"/>
  <c r="D1147" i="2"/>
  <c r="C830" i="2"/>
  <c r="C521" i="2"/>
  <c r="D543" i="2"/>
  <c r="C543" i="2"/>
  <c r="C883" i="2"/>
  <c r="D883" i="2"/>
  <c r="D655" i="2"/>
  <c r="C655" i="2"/>
  <c r="C31" i="2"/>
  <c r="D31" i="2"/>
  <c r="D38" i="2"/>
  <c r="D7" i="2"/>
  <c r="C7" i="2"/>
  <c r="D472" i="2"/>
  <c r="D467" i="2"/>
  <c r="D1089" i="2"/>
  <c r="C1089" i="2"/>
  <c r="D1027" i="2"/>
  <c r="C1027" i="2"/>
  <c r="C85" i="2"/>
  <c r="D85" i="2"/>
  <c r="C797" i="2"/>
  <c r="D797" i="2"/>
  <c r="D642" i="2"/>
  <c r="D858" i="2"/>
  <c r="C858" i="2"/>
  <c r="C498" i="2"/>
  <c r="D498" i="2"/>
  <c r="D743" i="2"/>
  <c r="D562" i="2"/>
  <c r="D734" i="2"/>
  <c r="C734" i="2"/>
  <c r="D1099" i="2"/>
  <c r="C509" i="2"/>
  <c r="D509" i="2"/>
  <c r="C872" i="2"/>
  <c r="C802" i="2"/>
  <c r="C704" i="2"/>
  <c r="D704" i="2"/>
  <c r="C566" i="2"/>
  <c r="D823" i="2"/>
  <c r="C778" i="2"/>
  <c r="D778" i="2"/>
  <c r="C915" i="2"/>
  <c r="D839" i="2"/>
  <c r="C839" i="2"/>
  <c r="C1017" i="2"/>
  <c r="D1017" i="2"/>
  <c r="D718" i="2"/>
  <c r="C718" i="2"/>
  <c r="C791" i="2"/>
  <c r="D791" i="2"/>
  <c r="D820" i="2"/>
  <c r="C820" i="2"/>
  <c r="C950" i="2"/>
  <c r="D950" i="2"/>
  <c r="D764" i="2"/>
  <c r="C764" i="2"/>
  <c r="D667" i="2"/>
  <c r="C667" i="2"/>
  <c r="D806" i="2"/>
  <c r="C1030" i="2"/>
  <c r="D1030" i="2"/>
  <c r="C850" i="2"/>
  <c r="D850" i="2"/>
  <c r="C497" i="2"/>
  <c r="D497" i="2"/>
  <c r="D803" i="2"/>
  <c r="C925" i="2"/>
  <c r="D925" i="2"/>
  <c r="D920" i="2"/>
  <c r="C816" i="2"/>
  <c r="D816" i="2"/>
  <c r="C694" i="2"/>
  <c r="C866" i="2"/>
  <c r="C1120" i="2"/>
  <c r="D1120" i="2"/>
  <c r="C586" i="2"/>
  <c r="D586" i="2"/>
  <c r="C44" i="2"/>
  <c r="C995" i="2"/>
  <c r="C826" i="2"/>
  <c r="D630" i="2"/>
  <c r="C630" i="2"/>
  <c r="C1062" i="2"/>
  <c r="D1062" i="2"/>
  <c r="D525" i="2"/>
  <c r="C525" i="2"/>
  <c r="C1096" i="2"/>
  <c r="D1096" i="2"/>
  <c r="C812" i="2"/>
  <c r="D812" i="2"/>
  <c r="C668" i="2"/>
  <c r="D668" i="2"/>
  <c r="C619" i="2"/>
  <c r="D619" i="2"/>
  <c r="C680" i="2"/>
  <c r="D680" i="2"/>
  <c r="C766" i="2"/>
  <c r="D766" i="2"/>
  <c r="C725" i="2"/>
  <c r="D725" i="2"/>
  <c r="D996" i="2"/>
  <c r="C996" i="2"/>
  <c r="D770" i="2"/>
  <c r="C770" i="2"/>
  <c r="C650" i="2"/>
  <c r="D650" i="2"/>
  <c r="C440" i="2"/>
  <c r="D440" i="2"/>
  <c r="D431" i="2"/>
  <c r="C153" i="2"/>
  <c r="D153" i="2"/>
  <c r="D145" i="2"/>
  <c r="D138" i="2"/>
  <c r="C181" i="2"/>
  <c r="C396" i="2"/>
  <c r="C307" i="2"/>
  <c r="D307" i="2"/>
  <c r="C195" i="2"/>
  <c r="D195" i="2"/>
  <c r="C197" i="2"/>
  <c r="D197" i="2"/>
  <c r="D987" i="2"/>
  <c r="C987" i="2"/>
  <c r="C285" i="2"/>
  <c r="D285" i="2"/>
  <c r="C870" i="2"/>
  <c r="D870" i="2"/>
  <c r="C395" i="2"/>
  <c r="D395" i="2"/>
  <c r="C313" i="2"/>
  <c r="D313" i="2"/>
  <c r="C209" i="2"/>
  <c r="D209" i="2"/>
  <c r="C215" i="2"/>
  <c r="D215" i="2"/>
  <c r="C1140" i="2"/>
  <c r="D1140" i="2"/>
  <c r="C1024" i="2"/>
  <c r="D1024" i="2"/>
  <c r="C846" i="2"/>
  <c r="D846" i="2"/>
  <c r="C1097" i="2"/>
  <c r="D1097" i="2"/>
  <c r="C722" i="2"/>
  <c r="D722" i="2"/>
  <c r="C626" i="2"/>
  <c r="D626" i="2"/>
  <c r="D406" i="2"/>
  <c r="C144" i="2"/>
  <c r="D144" i="2"/>
  <c r="D185" i="2"/>
  <c r="C159" i="2"/>
  <c r="C388" i="2"/>
  <c r="D388" i="2"/>
  <c r="C256" i="2"/>
  <c r="D256" i="2"/>
  <c r="C238" i="2"/>
  <c r="D238" i="2"/>
  <c r="C252" i="2"/>
  <c r="D252" i="2"/>
  <c r="C445" i="2"/>
  <c r="D445" i="2"/>
  <c r="C663" i="2"/>
  <c r="D663" i="2"/>
  <c r="C437" i="2"/>
  <c r="D437" i="2"/>
  <c r="C505" i="2"/>
  <c r="D505" i="2"/>
  <c r="C11" i="2"/>
  <c r="D11" i="2"/>
  <c r="C427" i="2"/>
  <c r="C143" i="2"/>
  <c r="C434" i="2"/>
  <c r="C377" i="2"/>
  <c r="D377" i="2"/>
  <c r="C311" i="2"/>
  <c r="D311" i="2"/>
  <c r="C226" i="2"/>
  <c r="D226" i="2"/>
  <c r="C979" i="2"/>
  <c r="D979" i="2"/>
  <c r="C1058" i="2"/>
  <c r="D1058" i="2"/>
  <c r="C1107" i="2"/>
  <c r="D1107" i="2"/>
  <c r="C807" i="2"/>
  <c r="D807" i="2"/>
  <c r="C359" i="2"/>
  <c r="D359" i="2"/>
  <c r="C1043" i="2"/>
  <c r="D1043" i="2"/>
  <c r="C350" i="2"/>
  <c r="D350" i="2"/>
  <c r="C309" i="2"/>
  <c r="D309" i="2"/>
  <c r="C292" i="2"/>
  <c r="D292" i="2"/>
  <c r="C92" i="2"/>
  <c r="D92" i="2"/>
  <c r="C1038" i="2"/>
  <c r="D1038" i="2"/>
  <c r="C475" i="2"/>
  <c r="D475" i="2"/>
  <c r="C325" i="2"/>
  <c r="D325" i="2"/>
  <c r="C1067" i="2"/>
  <c r="D1067" i="2"/>
  <c r="C174" i="2"/>
  <c r="D174" i="2"/>
  <c r="C175" i="2"/>
  <c r="D175" i="2"/>
  <c r="C381" i="2"/>
  <c r="D381" i="2"/>
  <c r="C327" i="2"/>
  <c r="D327" i="2"/>
  <c r="C254" i="2"/>
  <c r="D254" i="2"/>
  <c r="C63" i="2"/>
  <c r="D63" i="2"/>
  <c r="C1127" i="2"/>
  <c r="D1127" i="2"/>
  <c r="C956" i="2"/>
  <c r="D956" i="2"/>
  <c r="C888" i="2"/>
  <c r="D888" i="2"/>
  <c r="C746" i="2"/>
  <c r="D746" i="2"/>
  <c r="C450" i="2"/>
  <c r="D450" i="2"/>
  <c r="C3" i="2"/>
  <c r="D3" i="2"/>
  <c r="C767" i="2"/>
  <c r="D767" i="2"/>
  <c r="D412" i="2"/>
  <c r="D155" i="2"/>
  <c r="D134" i="2"/>
  <c r="C186" i="2"/>
  <c r="D186" i="2"/>
  <c r="C162" i="2"/>
  <c r="D162" i="2"/>
  <c r="C385" i="2"/>
  <c r="C364" i="2"/>
  <c r="D364" i="2"/>
  <c r="C331" i="2"/>
  <c r="D331" i="2"/>
  <c r="C222" i="2"/>
  <c r="D222" i="2"/>
  <c r="C283" i="2"/>
  <c r="D283" i="2"/>
  <c r="C106" i="2"/>
  <c r="D106" i="2"/>
  <c r="C1084" i="2"/>
  <c r="D1084" i="2"/>
  <c r="C10" i="2"/>
  <c r="D10" i="2"/>
  <c r="C2" i="2"/>
  <c r="D2" i="2"/>
  <c r="C474" i="2"/>
  <c r="D474" i="2"/>
  <c r="C840" i="2"/>
  <c r="D840" i="2"/>
  <c r="C58" i="2"/>
  <c r="D58" i="2"/>
  <c r="C579" i="2"/>
  <c r="D579" i="2"/>
  <c r="C510" i="2"/>
  <c r="D510" i="2"/>
  <c r="C859" i="2"/>
  <c r="D859" i="2"/>
  <c r="C1026" i="2"/>
  <c r="D1026" i="2"/>
  <c r="C83" i="2"/>
  <c r="D83" i="2"/>
  <c r="C625" i="2"/>
  <c r="D625" i="2"/>
  <c r="C1132" i="2"/>
  <c r="D1132" i="2"/>
  <c r="C466" i="2"/>
  <c r="D466" i="2"/>
  <c r="C1131" i="2"/>
  <c r="D1131" i="2"/>
  <c r="C465" i="2"/>
  <c r="D465" i="2"/>
  <c r="C46" i="2"/>
  <c r="D46" i="2"/>
  <c r="C843" i="2"/>
  <c r="D843" i="2"/>
  <c r="C580" i="2"/>
  <c r="D580" i="2"/>
  <c r="D168" i="2"/>
  <c r="D435" i="2"/>
  <c r="D393" i="2"/>
  <c r="D386" i="2"/>
  <c r="D375" i="2"/>
  <c r="D349" i="2"/>
  <c r="D348" i="2"/>
  <c r="D355" i="2"/>
  <c r="D336" i="2"/>
  <c r="D295" i="2"/>
  <c r="D319" i="2"/>
  <c r="D315" i="2"/>
  <c r="D328" i="2"/>
  <c r="D260" i="2"/>
  <c r="D202" i="2"/>
  <c r="D297" i="2"/>
  <c r="D247" i="2"/>
  <c r="D322" i="2"/>
  <c r="D302" i="2"/>
  <c r="D335" i="2"/>
  <c r="D408" i="2"/>
  <c r="D211" i="2"/>
  <c r="D244" i="2"/>
  <c r="D90" i="2"/>
  <c r="D52" i="2"/>
  <c r="D66" i="2"/>
  <c r="D951" i="2"/>
  <c r="D769" i="2"/>
  <c r="D1143" i="2"/>
  <c r="D443" i="2"/>
  <c r="D935" i="2"/>
  <c r="D1095" i="2"/>
  <c r="D1057" i="2"/>
  <c r="D1039" i="2"/>
  <c r="D1018" i="2"/>
  <c r="D973" i="2"/>
  <c r="D945" i="2"/>
  <c r="D1029" i="2"/>
  <c r="D885" i="2"/>
  <c r="D527" i="2"/>
  <c r="D834" i="2"/>
  <c r="D781" i="2"/>
  <c r="D829" i="2"/>
  <c r="D701" i="2"/>
  <c r="D524" i="2"/>
  <c r="D879" i="2"/>
  <c r="C1061" i="2"/>
  <c r="D1061" i="2"/>
  <c r="D21" i="2"/>
  <c r="C1068" i="2"/>
  <c r="D1068" i="2"/>
  <c r="D188" i="2"/>
  <c r="D160" i="2"/>
  <c r="D354" i="2"/>
  <c r="D305" i="2"/>
  <c r="D245" i="2"/>
  <c r="D281" i="2"/>
  <c r="D229" i="2"/>
  <c r="D324" i="2"/>
  <c r="D519" i="2"/>
  <c r="C37" i="2"/>
  <c r="D37" i="2"/>
  <c r="C24" i="2"/>
  <c r="C1066" i="2"/>
  <c r="D1066" i="2"/>
  <c r="C457" i="2"/>
  <c r="D457" i="2"/>
  <c r="C120" i="2"/>
  <c r="D120" i="2"/>
  <c r="C1002" i="2"/>
  <c r="D1002" i="2"/>
  <c r="C531" i="2"/>
  <c r="D531" i="2"/>
  <c r="C985" i="2"/>
  <c r="D985" i="2"/>
  <c r="C853" i="2"/>
  <c r="C634" i="2"/>
  <c r="C36" i="2"/>
  <c r="D36" i="2"/>
  <c r="C28" i="2"/>
  <c r="D28" i="2"/>
  <c r="C484" i="2"/>
  <c r="D484" i="2"/>
  <c r="C558" i="2"/>
  <c r="C595" i="2"/>
  <c r="D595" i="2"/>
  <c r="C549" i="2"/>
  <c r="C27" i="2"/>
  <c r="D27" i="2"/>
  <c r="C20" i="2"/>
  <c r="D20" i="2"/>
  <c r="C483" i="2"/>
  <c r="D483" i="2"/>
  <c r="C101" i="2"/>
  <c r="D101" i="2"/>
  <c r="C515" i="2"/>
  <c r="D515" i="2"/>
  <c r="C665" i="2"/>
  <c r="D665" i="2"/>
  <c r="C612" i="2"/>
  <c r="D612" i="2"/>
  <c r="D129" i="2"/>
  <c r="C1023" i="2"/>
  <c r="D1023" i="2"/>
  <c r="C786" i="2"/>
  <c r="D786" i="2"/>
  <c r="C584" i="2"/>
  <c r="D584" i="2"/>
  <c r="C963" i="2"/>
  <c r="D963" i="2"/>
  <c r="C831" i="2"/>
  <c r="D831" i="2"/>
  <c r="D458" i="2"/>
  <c r="D1100" i="2"/>
  <c r="D875" i="2"/>
  <c r="D122" i="2"/>
  <c r="D80" i="2"/>
  <c r="D59" i="2"/>
  <c r="D86" i="2"/>
  <c r="D516" i="2"/>
  <c r="D852" i="2"/>
  <c r="D600" i="2"/>
  <c r="D939" i="2"/>
  <c r="D545" i="2"/>
  <c r="D695" i="2"/>
  <c r="D635" i="2"/>
  <c r="D598" i="2"/>
  <c r="D715" i="2"/>
  <c r="D604" i="2"/>
  <c r="D675" i="2"/>
  <c r="D784" i="2"/>
  <c r="D937" i="2"/>
  <c r="D707" i="2"/>
  <c r="C1126" i="2"/>
  <c r="D1126" i="2"/>
  <c r="C638" i="2"/>
  <c r="D638" i="2"/>
  <c r="C578" i="2"/>
  <c r="D578" i="2"/>
  <c r="C693" i="2"/>
  <c r="D693" i="2"/>
  <c r="C57" i="2"/>
  <c r="D57" i="2"/>
  <c r="C54" i="2"/>
  <c r="D54" i="2"/>
  <c r="C992" i="2"/>
  <c r="D992" i="2"/>
  <c r="C727" i="2"/>
  <c r="D727" i="2"/>
  <c r="C940" i="2"/>
  <c r="D940" i="2"/>
  <c r="C1117" i="2"/>
  <c r="D1117" i="2"/>
  <c r="C97" i="2"/>
  <c r="D97" i="2"/>
  <c r="C1028" i="2"/>
  <c r="D1028" i="2"/>
  <c r="C500" i="2"/>
  <c r="D500" i="2"/>
  <c r="C112" i="2"/>
  <c r="D112" i="2"/>
  <c r="C799" i="2"/>
  <c r="D799" i="2"/>
  <c r="C685" i="2"/>
  <c r="D685" i="2"/>
  <c r="C926" i="2"/>
  <c r="D926" i="2"/>
  <c r="C758" i="2"/>
  <c r="D758" i="2"/>
  <c r="C705" i="2"/>
  <c r="D705" i="2"/>
  <c r="D115" i="2"/>
  <c r="C19" i="2"/>
  <c r="D19" i="2"/>
  <c r="C502" i="2"/>
  <c r="D502" i="2"/>
  <c r="C607" i="2"/>
  <c r="D607" i="2"/>
  <c r="C916" i="2"/>
  <c r="D916" i="2"/>
  <c r="C905" i="2"/>
  <c r="D905" i="2"/>
  <c r="C895" i="2"/>
  <c r="D895" i="2"/>
  <c r="C572" i="2"/>
  <c r="D572" i="2"/>
  <c r="C602" i="2"/>
  <c r="D602" i="2"/>
  <c r="C1011" i="2"/>
  <c r="D1011" i="2"/>
  <c r="C906" i="2"/>
  <c r="D906" i="2"/>
  <c r="C128" i="2"/>
  <c r="D128" i="2"/>
  <c r="C652" i="2"/>
  <c r="D652" i="2"/>
  <c r="C420" i="2"/>
  <c r="D420" i="2"/>
  <c r="D787" i="2"/>
  <c r="D508" i="2"/>
  <c r="D676" i="2"/>
  <c r="D777" i="2"/>
  <c r="D868" i="2"/>
  <c r="D553" i="2"/>
  <c r="D712" i="2"/>
  <c r="D833" i="2"/>
  <c r="D673" i="2"/>
  <c r="D975" i="2"/>
  <c r="D955" i="2"/>
  <c r="D931" i="2"/>
  <c r="D922" i="2"/>
  <c r="D911" i="2"/>
  <c r="D901" i="2"/>
  <c r="D762" i="2"/>
  <c r="D1137" i="2"/>
  <c r="D1103" i="2"/>
  <c r="D15" i="2"/>
  <c r="D413" i="2"/>
  <c r="D438" i="2"/>
  <c r="D536" i="2"/>
  <c r="D1008" i="2"/>
  <c r="D615" i="2"/>
  <c r="D1079" i="2"/>
  <c r="D825" i="2"/>
  <c r="D556" i="2"/>
  <c r="D900" i="2"/>
  <c r="D583" i="2"/>
  <c r="D772" i="2"/>
  <c r="D893" i="2"/>
  <c r="D662" i="2"/>
  <c r="D702" i="2"/>
  <c r="D844" i="2"/>
  <c r="D507" i="2"/>
  <c r="D624" i="2"/>
  <c r="D805" i="2"/>
  <c r="D591" i="2"/>
  <c r="D921" i="2"/>
  <c r="D910" i="2"/>
  <c r="D899" i="2"/>
  <c r="D761" i="2"/>
  <c r="D1136" i="2"/>
  <c r="D1007" i="2"/>
  <c r="D14" i="2"/>
  <c r="D417" i="2"/>
  <c r="D416" i="2"/>
  <c r="H589" i="3" l="1"/>
  <c r="H33" i="3"/>
  <c r="H56" i="3"/>
  <c r="H326" i="3"/>
  <c r="H391" i="3"/>
  <c r="H521" i="3"/>
  <c r="H70" i="3"/>
  <c r="H568" i="3"/>
  <c r="H551" i="3"/>
  <c r="H48" i="3"/>
  <c r="H133" i="3"/>
  <c r="H122" i="3"/>
  <c r="H164" i="3"/>
  <c r="H165" i="3"/>
  <c r="H533" i="3"/>
  <c r="H3" i="3"/>
  <c r="H222" i="3"/>
  <c r="H93" i="3"/>
  <c r="H328" i="3"/>
  <c r="H298" i="3"/>
  <c r="H398" i="3"/>
  <c r="H439" i="3"/>
  <c r="H49" i="3"/>
  <c r="H534" i="3"/>
  <c r="H39" i="3"/>
  <c r="H126" i="3"/>
  <c r="H321" i="3"/>
  <c r="H127" i="3"/>
  <c r="H94" i="3"/>
  <c r="H401" i="3"/>
  <c r="H460" i="3"/>
  <c r="H363" i="3"/>
  <c r="H216" i="3"/>
  <c r="H519" i="3"/>
  <c r="H383" i="3"/>
  <c r="H370" i="3"/>
  <c r="H170" i="3"/>
  <c r="H335" i="3"/>
  <c r="H488" i="3"/>
  <c r="H332" i="3"/>
  <c r="H202" i="3"/>
  <c r="H505" i="3"/>
  <c r="H451" i="3"/>
  <c r="H526" i="3"/>
  <c r="H428" i="3"/>
  <c r="H543" i="3"/>
  <c r="H119" i="3"/>
  <c r="H382" i="3"/>
  <c r="H365" i="3"/>
  <c r="H591" i="3"/>
  <c r="H289" i="3"/>
  <c r="H600" i="3"/>
  <c r="H606" i="3"/>
  <c r="H295" i="3"/>
  <c r="H618" i="3"/>
  <c r="H59" i="3"/>
  <c r="H628" i="3"/>
  <c r="H7" i="3"/>
  <c r="H632" i="3"/>
  <c r="H637" i="3"/>
  <c r="H389" i="3"/>
  <c r="H236" i="3"/>
  <c r="H60" i="3"/>
  <c r="H160" i="3"/>
  <c r="H506" i="3"/>
  <c r="H62" i="3"/>
  <c r="H185" i="3"/>
  <c r="H244" i="3"/>
  <c r="H182" i="3"/>
  <c r="H250" i="3"/>
  <c r="H452" i="3"/>
  <c r="H528" i="3"/>
  <c r="H529" i="3"/>
  <c r="H511" i="3"/>
  <c r="H410" i="3"/>
  <c r="H512" i="3"/>
  <c r="H15" i="3"/>
  <c r="H366" i="3"/>
  <c r="H312" i="3"/>
  <c r="H314" i="3"/>
  <c r="H518" i="3"/>
  <c r="H111" i="3"/>
  <c r="H63" i="3"/>
  <c r="H466" i="3"/>
  <c r="H553" i="3"/>
  <c r="H90" i="3"/>
  <c r="H162" i="3"/>
  <c r="H494" i="3"/>
  <c r="H102" i="3"/>
  <c r="H359" i="3"/>
  <c r="H531" i="3"/>
  <c r="H394" i="3"/>
  <c r="H208" i="3"/>
  <c r="H557" i="3"/>
  <c r="H113" i="3"/>
  <c r="H209" i="3"/>
  <c r="H579" i="3"/>
  <c r="H440" i="3"/>
  <c r="H396" i="3"/>
  <c r="H302" i="3"/>
  <c r="H468" i="3"/>
  <c r="H294" i="3"/>
  <c r="H485" i="3"/>
  <c r="H37" i="3"/>
  <c r="H106" i="3"/>
  <c r="H343" i="3"/>
  <c r="H447" i="3"/>
  <c r="H278" i="3"/>
  <c r="H487" i="3"/>
  <c r="H95" i="3"/>
  <c r="H77" i="3"/>
  <c r="H421" i="3"/>
  <c r="H536" i="3"/>
  <c r="H221" i="3"/>
  <c r="H416" i="3"/>
  <c r="H28" i="3"/>
  <c r="H117" i="3"/>
  <c r="H422" i="3"/>
  <c r="H107" i="3"/>
  <c r="H5" i="3"/>
  <c r="H118" i="3"/>
  <c r="H303" i="3"/>
  <c r="H171" i="3"/>
  <c r="H45" i="3"/>
  <c r="H345" i="3"/>
  <c r="H142" i="3"/>
  <c r="H575" i="3"/>
  <c r="H67" i="3"/>
  <c r="H538" i="3"/>
  <c r="H453" i="3"/>
  <c r="H227" i="3"/>
  <c r="H601" i="3"/>
  <c r="H607" i="3"/>
  <c r="H612" i="3"/>
  <c r="H617" i="3"/>
  <c r="H625" i="3"/>
  <c r="H325" i="3"/>
  <c r="H228" i="3"/>
  <c r="H633" i="3"/>
  <c r="H592" i="3"/>
  <c r="H640" i="3"/>
  <c r="H78" i="3"/>
  <c r="H372" i="3"/>
  <c r="H564" i="3"/>
  <c r="H68" i="3"/>
  <c r="H181" i="3"/>
  <c r="H241" i="3"/>
  <c r="H20" i="3"/>
  <c r="H245" i="3"/>
  <c r="H597" i="3"/>
  <c r="H254" i="3"/>
  <c r="H417" i="3"/>
  <c r="H272" i="3"/>
  <c r="H336" i="3"/>
  <c r="H258" i="3"/>
  <c r="H475" i="3"/>
  <c r="H265" i="3"/>
  <c r="H310" i="3"/>
  <c r="H546" i="3"/>
  <c r="H16" i="3"/>
  <c r="H269" i="3"/>
  <c r="H420" i="3"/>
  <c r="H347" i="3"/>
  <c r="H467" i="3"/>
  <c r="H554" i="3"/>
  <c r="H480" i="3"/>
  <c r="H91" i="3"/>
  <c r="H358" i="3"/>
  <c r="H121" i="3"/>
  <c r="H339" i="3"/>
  <c r="H53" i="3"/>
  <c r="H360" i="3"/>
  <c r="H395" i="3"/>
  <c r="H319" i="3"/>
  <c r="H570" i="3"/>
  <c r="H276" i="3"/>
  <c r="H427" i="3"/>
  <c r="H334" i="3"/>
  <c r="H285" i="3"/>
  <c r="H566" i="3"/>
  <c r="H85" i="3"/>
  <c r="H470" i="3"/>
  <c r="H105" i="3"/>
  <c r="H57" i="3"/>
  <c r="H210" i="3"/>
  <c r="H150" i="3"/>
  <c r="H40" i="3"/>
  <c r="H400" i="3"/>
  <c r="H362" i="3"/>
  <c r="H522" i="3"/>
  <c r="H41" i="3"/>
  <c r="H283" i="3"/>
  <c r="H201" i="3"/>
  <c r="H219" i="3"/>
  <c r="H387" i="3"/>
  <c r="H42" i="3"/>
  <c r="H96" i="3"/>
  <c r="H80" i="3"/>
  <c r="H431" i="3"/>
  <c r="H81" i="3"/>
  <c r="H357" i="3"/>
  <c r="H129" i="3"/>
  <c r="H153" i="3"/>
  <c r="H368" i="3"/>
  <c r="H432" i="3"/>
  <c r="H154" i="3"/>
  <c r="H450" i="3"/>
  <c r="H225" i="3"/>
  <c r="H281" i="3"/>
  <c r="H464" i="3"/>
  <c r="H12" i="3"/>
  <c r="H539" i="3"/>
  <c r="H297" i="3"/>
  <c r="H613" i="3"/>
  <c r="H619" i="3"/>
  <c r="H373" i="3"/>
  <c r="H629" i="3"/>
  <c r="H6" i="3"/>
  <c r="H230" i="3"/>
  <c r="H231" i="3"/>
  <c r="H234" i="3"/>
  <c r="H237" i="3"/>
  <c r="H73" i="3"/>
  <c r="H598" i="3"/>
  <c r="H405" i="3"/>
  <c r="H69" i="3"/>
  <c r="H242" i="3"/>
  <c r="H189" i="3"/>
  <c r="H193" i="3"/>
  <c r="H251" i="3"/>
  <c r="H594" i="3"/>
  <c r="H434" i="3"/>
  <c r="H509" i="3"/>
  <c r="H378" i="3"/>
  <c r="H259" i="3"/>
  <c r="H264" i="3"/>
  <c r="H308" i="3"/>
  <c r="H100" i="3"/>
  <c r="H313" i="3"/>
  <c r="H266" i="3"/>
  <c r="H544" i="3"/>
  <c r="H224" i="3"/>
  <c r="H101" i="3"/>
  <c r="H549" i="3"/>
  <c r="H555" i="3"/>
  <c r="H493" i="3"/>
  <c r="H273" i="3"/>
  <c r="H206" i="3"/>
  <c r="H146" i="3"/>
  <c r="H577" i="3"/>
  <c r="H64" i="3"/>
  <c r="H532" i="3"/>
  <c r="H496" i="3"/>
  <c r="H352" i="3"/>
  <c r="H340" i="3"/>
  <c r="H478" i="3"/>
  <c r="H123" i="3"/>
  <c r="H436" i="3"/>
  <c r="H477" i="3"/>
  <c r="H473" i="3"/>
  <c r="H320" i="3"/>
  <c r="H562" i="3"/>
  <c r="H498" i="3"/>
  <c r="H342" i="3"/>
  <c r="H200" i="3"/>
  <c r="H355" i="3"/>
  <c r="H499" i="3"/>
  <c r="H322" i="3"/>
  <c r="H377" i="3"/>
  <c r="H523" i="3"/>
  <c r="H87" i="3"/>
  <c r="H535" i="3"/>
  <c r="H443" i="3"/>
  <c r="H27" i="3"/>
  <c r="H217" i="3"/>
  <c r="H542" i="3"/>
  <c r="H402" i="3"/>
  <c r="H140" i="3"/>
  <c r="H371" i="3"/>
  <c r="H43" i="3"/>
  <c r="H449" i="3"/>
  <c r="H141" i="3"/>
  <c r="H574" i="3"/>
  <c r="H337" i="3"/>
  <c r="H501" i="3"/>
  <c r="H46" i="3"/>
  <c r="H324" i="3"/>
  <c r="H203" i="3"/>
  <c r="H433" i="3"/>
  <c r="H223" i="3"/>
  <c r="H143" i="3"/>
  <c r="H602" i="3"/>
  <c r="H608" i="3"/>
  <c r="H614" i="3"/>
  <c r="H620" i="3"/>
  <c r="H626" i="3"/>
  <c r="H502" i="3"/>
  <c r="H474" i="3"/>
  <c r="H634" i="3"/>
  <c r="H638" i="3"/>
  <c r="H99" i="3"/>
  <c r="H643" i="3"/>
  <c r="H330" i="3"/>
  <c r="H89" i="3"/>
  <c r="H584" i="3"/>
  <c r="H183" i="3"/>
  <c r="H187" i="3"/>
  <c r="H21" i="3"/>
  <c r="H246" i="3"/>
  <c r="H586" i="3"/>
  <c r="H469" i="3"/>
  <c r="H419" i="3"/>
  <c r="H413" i="3"/>
  <c r="H257" i="3"/>
  <c r="H260" i="3"/>
  <c r="H194" i="3"/>
  <c r="H309" i="3"/>
  <c r="H32" i="3"/>
  <c r="H19" i="3"/>
  <c r="H267" i="3"/>
  <c r="H215" i="3"/>
  <c r="H156" i="3"/>
  <c r="H132" i="3"/>
  <c r="H192" i="3"/>
  <c r="H556" i="3"/>
  <c r="H214" i="3"/>
  <c r="H145" i="3"/>
  <c r="H316" i="3"/>
  <c r="H163" i="3"/>
  <c r="H34" i="3"/>
  <c r="H207" i="3"/>
  <c r="H445" i="3"/>
  <c r="H318" i="3"/>
  <c r="H134" i="3"/>
  <c r="H353" i="3"/>
  <c r="H341" i="3"/>
  <c r="H76" i="3"/>
  <c r="H104" i="3"/>
  <c r="H497" i="3"/>
  <c r="H84" i="3"/>
  <c r="H86" i="3"/>
  <c r="H175" i="3"/>
  <c r="H158" i="3"/>
  <c r="H125" i="3"/>
  <c r="H58" i="3"/>
  <c r="H167" i="3"/>
  <c r="H472" i="3"/>
  <c r="H571" i="3"/>
  <c r="H448" i="3"/>
  <c r="H138" i="3"/>
  <c r="H582" i="3"/>
  <c r="H572" i="3"/>
  <c r="H26" i="3"/>
  <c r="H415" i="3"/>
  <c r="H414" i="3"/>
  <c r="H139" i="3"/>
  <c r="H403" i="3"/>
  <c r="H212" i="3"/>
  <c r="H226" i="3"/>
  <c r="H573" i="3"/>
  <c r="H299" i="3"/>
  <c r="H130" i="3"/>
  <c r="H430" i="3"/>
  <c r="H66" i="3"/>
  <c r="H109" i="3"/>
  <c r="H550" i="3"/>
  <c r="H9" i="3"/>
  <c r="H110" i="3"/>
  <c r="H437" i="3"/>
  <c r="H380" i="3"/>
  <c r="H10" i="3"/>
  <c r="H155" i="3"/>
  <c r="H609" i="3"/>
  <c r="H290" i="3"/>
  <c r="H622" i="3"/>
  <c r="H490" i="3"/>
  <c r="H630" i="3"/>
  <c r="H631" i="3"/>
  <c r="H635" i="3"/>
  <c r="H233" i="3"/>
  <c r="H641" i="3"/>
  <c r="H479" i="3"/>
  <c r="H74" i="3"/>
  <c r="H161" i="3"/>
  <c r="H306" i="3"/>
  <c r="H407" i="3"/>
  <c r="H548" i="3"/>
  <c r="H191" i="3"/>
  <c r="H247" i="3"/>
  <c r="H456" i="3"/>
  <c r="H596" i="3"/>
  <c r="H75" i="3"/>
  <c r="H31" i="3"/>
  <c r="H179" i="3"/>
  <c r="H261" i="3"/>
  <c r="H503" i="3"/>
  <c r="H369" i="3"/>
  <c r="H426" i="3"/>
  <c r="H514" i="3"/>
  <c r="H18" i="3"/>
  <c r="H561" i="3"/>
  <c r="H144" i="3"/>
  <c r="H196" i="3"/>
  <c r="H412" i="3"/>
  <c r="H301" i="3"/>
  <c r="H120" i="3"/>
  <c r="H350" i="3"/>
  <c r="H338" i="3"/>
  <c r="H495" i="3"/>
  <c r="H351" i="3"/>
  <c r="H569" i="3"/>
  <c r="H103" i="3"/>
  <c r="H483" i="3"/>
  <c r="H361" i="3"/>
  <c r="H197" i="3"/>
  <c r="H484" i="3"/>
  <c r="H333" i="3"/>
  <c r="H195" i="3"/>
  <c r="H504" i="3"/>
  <c r="H24" i="3"/>
  <c r="H455" i="3"/>
  <c r="H438" i="3"/>
  <c r="H166" i="3"/>
  <c r="H38" i="3"/>
  <c r="H71" i="3"/>
  <c r="H399" i="3"/>
  <c r="H471" i="3"/>
  <c r="H72" i="3"/>
  <c r="H356" i="3"/>
  <c r="H50" i="3"/>
  <c r="H25" i="3"/>
  <c r="H168" i="3"/>
  <c r="H284" i="3"/>
  <c r="H388" i="3"/>
  <c r="H411" i="3"/>
  <c r="H169" i="3"/>
  <c r="H527" i="3"/>
  <c r="H97" i="3"/>
  <c r="H583" i="3"/>
  <c r="H44" i="3"/>
  <c r="H14" i="3"/>
  <c r="H327" i="3"/>
  <c r="H578" i="3"/>
  <c r="H364" i="3"/>
  <c r="H537" i="3"/>
  <c r="H346" i="3"/>
  <c r="H489" i="3"/>
  <c r="H131" i="3"/>
  <c r="H559" i="3"/>
  <c r="H287" i="3"/>
  <c r="H13" i="3"/>
  <c r="H603" i="3"/>
  <c r="H296" i="3"/>
  <c r="H615" i="3"/>
  <c r="H621" i="3"/>
  <c r="H2" i="3"/>
  <c r="H305" i="3"/>
  <c r="H595" i="3"/>
  <c r="H229" i="3"/>
  <c r="H232" i="3"/>
  <c r="H235" i="3"/>
  <c r="H83" i="3"/>
  <c r="H381" i="3"/>
  <c r="H239" i="3"/>
  <c r="H51" i="3"/>
  <c r="H240" i="3"/>
  <c r="H243" i="3"/>
  <c r="H180" i="3"/>
  <c r="H248" i="3"/>
  <c r="H252" i="3"/>
  <c r="H256" i="3"/>
  <c r="H385" i="3"/>
  <c r="H510" i="3"/>
  <c r="H52" i="3"/>
  <c r="H262" i="3"/>
  <c r="H429" i="3"/>
  <c r="H22" i="3"/>
  <c r="H552" i="3"/>
  <c r="H515" i="3"/>
  <c r="H268" i="3"/>
  <c r="H174" i="3"/>
  <c r="H476" i="3"/>
  <c r="H530" i="3"/>
  <c r="H274" i="3"/>
  <c r="H135" i="3"/>
  <c r="H198" i="3"/>
  <c r="H136" i="3"/>
  <c r="H116" i="3"/>
  <c r="H279" i="3"/>
  <c r="H386" i="3"/>
  <c r="H329" i="3"/>
  <c r="H525" i="3"/>
  <c r="H300" i="3"/>
  <c r="H282" i="3"/>
  <c r="H623" i="3"/>
  <c r="H293" i="3"/>
  <c r="H30" i="3"/>
  <c r="H188" i="3"/>
  <c r="H255" i="3"/>
  <c r="H454" i="3"/>
  <c r="H492" i="3"/>
  <c r="H446" i="3"/>
  <c r="H462" i="3"/>
  <c r="H65" i="3"/>
  <c r="H291" i="3"/>
  <c r="H253" i="3"/>
  <c r="H349" i="3"/>
  <c r="H390" i="3"/>
  <c r="H563" i="3"/>
  <c r="H491" i="3"/>
  <c r="H461" i="3"/>
  <c r="H317" i="3"/>
  <c r="H148" i="3"/>
  <c r="H354" i="3"/>
  <c r="H581" i="3"/>
  <c r="H137" i="3"/>
  <c r="H458" i="3"/>
  <c r="H205" i="3"/>
  <c r="H186" i="3"/>
  <c r="H304" i="3"/>
  <c r="H82" i="3"/>
  <c r="H599" i="3"/>
  <c r="H624" i="3"/>
  <c r="H636" i="3"/>
  <c r="H79" i="3"/>
  <c r="H190" i="3"/>
  <c r="H376" i="3"/>
  <c r="H263" i="3"/>
  <c r="H23" i="3"/>
  <c r="H124" i="3"/>
  <c r="H184" i="3"/>
  <c r="H444" i="3"/>
  <c r="H151" i="3"/>
  <c r="H616" i="3"/>
  <c r="H384" i="3"/>
  <c r="H393" i="3"/>
  <c r="H92" i="3"/>
  <c r="H348" i="3"/>
  <c r="H149" i="3"/>
  <c r="H159" i="3"/>
  <c r="H211" i="3"/>
  <c r="H220" i="3"/>
  <c r="H541" i="3"/>
  <c r="H280" i="3"/>
  <c r="H11" i="3"/>
  <c r="H172" i="3"/>
  <c r="H605" i="3"/>
  <c r="H627" i="3"/>
  <c r="H639" i="3"/>
  <c r="H204" i="3"/>
  <c r="H270" i="3"/>
  <c r="H507" i="3"/>
  <c r="H565" i="3"/>
  <c r="H516" i="3"/>
  <c r="H459" i="3"/>
  <c r="H288" i="3"/>
  <c r="H408" i="3"/>
  <c r="H457" i="3"/>
  <c r="H486" i="3"/>
  <c r="H271" i="3"/>
  <c r="H513" i="3"/>
  <c r="H418" i="3"/>
  <c r="H481" i="3"/>
  <c r="H147" i="3"/>
  <c r="H54" i="3"/>
  <c r="H397" i="3"/>
  <c r="H199" i="3"/>
  <c r="H500" i="3"/>
  <c r="H344" i="3"/>
  <c r="H128" i="3"/>
  <c r="H540" i="3"/>
  <c r="H323" i="3"/>
  <c r="H213" i="3"/>
  <c r="H604" i="3"/>
  <c r="H374" i="3"/>
  <c r="H463" i="3"/>
  <c r="H61" i="3"/>
  <c r="H585" i="3"/>
  <c r="H508" i="3"/>
  <c r="H441" i="3"/>
  <c r="H517" i="3"/>
  <c r="H47" i="3"/>
  <c r="H29" i="3"/>
  <c r="H275" i="3"/>
  <c r="H108" i="3"/>
  <c r="H465" i="3"/>
  <c r="H409" i="3"/>
  <c r="H547" i="3"/>
  <c r="H482" i="3"/>
  <c r="H35" i="3"/>
  <c r="H425" i="3"/>
  <c r="H277" i="3"/>
  <c r="H115" i="3"/>
  <c r="H177" i="3"/>
  <c r="H218" i="3"/>
  <c r="H331" i="3"/>
  <c r="H8" i="3"/>
  <c r="H4" i="3"/>
  <c r="H558" i="3"/>
  <c r="H610" i="3"/>
  <c r="H173" i="3"/>
  <c r="H178" i="3"/>
  <c r="H406" i="3"/>
  <c r="H375" i="3"/>
  <c r="H392" i="3"/>
  <c r="H367" i="3"/>
  <c r="H114" i="3"/>
  <c r="H238" i="3"/>
  <c r="H311" i="3"/>
  <c r="H435" i="3"/>
  <c r="H404" i="3"/>
  <c r="H593" i="3"/>
  <c r="H520" i="3"/>
  <c r="H157" i="3"/>
  <c r="H36" i="3"/>
  <c r="H315" i="3"/>
  <c r="H379" i="3"/>
  <c r="H176" i="3"/>
  <c r="H524" i="3"/>
  <c r="H442" i="3"/>
  <c r="H545" i="3"/>
  <c r="H567" i="3"/>
  <c r="H576" i="3"/>
  <c r="H560" i="3"/>
  <c r="H611" i="3"/>
  <c r="H292" i="3"/>
  <c r="H642" i="3"/>
  <c r="H307" i="3"/>
  <c r="H249" i="3"/>
  <c r="H423" i="3"/>
  <c r="H17" i="3"/>
  <c r="H112" i="3"/>
  <c r="H286" i="3"/>
  <c r="H424" i="3"/>
  <c r="H152" i="3"/>
  <c r="H98" i="3"/>
  <c r="H580" i="3"/>
  <c r="H55" i="3"/>
  <c r="H88" i="3"/>
  <c r="H590" i="3"/>
</calcChain>
</file>

<file path=xl/sharedStrings.xml><?xml version="1.0" encoding="utf-8"?>
<sst xmlns="http://schemas.openxmlformats.org/spreadsheetml/2006/main" count="4322" uniqueCount="2450">
  <si>
    <t>频道名称</t>
  </si>
  <si>
    <t>URL</t>
  </si>
  <si>
    <t>分组</t>
  </si>
  <si>
    <t>Logo地址</t>
  </si>
  <si>
    <t>分辨率</t>
  </si>
  <si>
    <t>状态</t>
  </si>
  <si>
    <t>延迟(ms)</t>
  </si>
  <si>
    <t>pltv_3221225530</t>
  </si>
  <si>
    <t>http://ott.mobaibox.com/PLTV/4/224/3221225530/index.m3u8</t>
  </si>
  <si>
    <t>未分类</t>
  </si>
  <si>
    <t>1920x1080</t>
  </si>
  <si>
    <t>有效</t>
  </si>
  <si>
    <t>pltv_3221225532</t>
  </si>
  <si>
    <t>http://ott.mobaibox.com/PLTV/4/224/3221225532/index.m3u8</t>
  </si>
  <si>
    <t>pltv_3221225534</t>
  </si>
  <si>
    <t>http://ott.mobaibox.com/PLTV/4/224/3221225534/index.m3u8</t>
  </si>
  <si>
    <t>pltv_3221225536</t>
  </si>
  <si>
    <t>http://ott.mobaibox.com/PLTV/4/224/3221225536/index.m3u8</t>
  </si>
  <si>
    <t>pltv_3221225539</t>
  </si>
  <si>
    <t>http://ott.mobaibox.com/PLTV/4/224/3221225539/index.m3u8</t>
  </si>
  <si>
    <t>pltv_3221225546</t>
  </si>
  <si>
    <t>http://ott.mobaibox.com/PLTV/4/224/3221225546/index.m3u8</t>
  </si>
  <si>
    <t>pltv_3221225548</t>
  </si>
  <si>
    <t>http://ott.mobaibox.com/PLTV/4/224/3221225548/index.m3u8</t>
  </si>
  <si>
    <t>pltv_3221225550</t>
  </si>
  <si>
    <t>http://ott.mobaibox.com/PLTV/4/224/3221225550/index.m3u8</t>
  </si>
  <si>
    <t>pltv_3221225555</t>
  </si>
  <si>
    <t>http://ott.mobaibox.com/PLTV/4/224/3221225555/index.m3u8</t>
  </si>
  <si>
    <t>pltv_3221225556</t>
  </si>
  <si>
    <t>http://ott.mobaibox.com/PLTV/4/224/3221225556/index.m3u8</t>
  </si>
  <si>
    <t>pltv_3221225560</t>
  </si>
  <si>
    <t>http://ott.mobaibox.com/PLTV/4/224/3221225560/index.m3u8</t>
  </si>
  <si>
    <t>pltv_3221225567</t>
  </si>
  <si>
    <t>http://ott.mobaibox.com/PLTV/4/224/3221225567/index.m3u8</t>
  </si>
  <si>
    <t>pltv_3221225588</t>
  </si>
  <si>
    <t>http://ott.mobaibox.com/PLTV/4/224/3221225588/index.m3u8</t>
  </si>
  <si>
    <t>pltv_3221225604</t>
  </si>
  <si>
    <t>http://ott.mobaibox.com/PLTV/4/224/3221225604/index.m3u8</t>
  </si>
  <si>
    <t>pltv_3221225634</t>
  </si>
  <si>
    <t>http://ott.mobaibox.com/PLTV/4/224/3221225634/index.m3u8</t>
  </si>
  <si>
    <t>pltv_3221225783</t>
  </si>
  <si>
    <t>http://ott.mobaibox.com/PLTV/4/224/3221225783/index.m3u8</t>
  </si>
  <si>
    <t>pltv_3221225786</t>
  </si>
  <si>
    <t>http://ott.mobaibox.com/PLTV/4/224/3221225786/index.m3u8</t>
  </si>
  <si>
    <t>pltv_3221225806</t>
  </si>
  <si>
    <t>http://ott.mobaibox.com/PLTV/4/224/3221225806/index.m3u8</t>
  </si>
  <si>
    <t>pltv_3221225836</t>
  </si>
  <si>
    <t>http://ott.mobaibox.com/PLTV/4/224/3221225836/index.m3u8</t>
  </si>
  <si>
    <t>pltv_3221225842</t>
  </si>
  <si>
    <t>http://ott.mobaibox.com/PLTV/4/224/3221225842/index.m3u8</t>
  </si>
  <si>
    <t>pltv_3221225844</t>
  </si>
  <si>
    <t>http://ott.mobaibox.com/PLTV/4/224/3221225844/index.m3u8</t>
  </si>
  <si>
    <t>pltv_3221225909</t>
  </si>
  <si>
    <t>http://ott.mobaibox.com/PLTV/4/224/3221225909/index.m3u8</t>
  </si>
  <si>
    <t>pltv_3221225925</t>
  </si>
  <si>
    <t>http://ott.mobaibox.com/PLTV/4/224/3221225925/index.m3u8</t>
  </si>
  <si>
    <t>pltv_3221225929</t>
  </si>
  <si>
    <t>http://ott.mobaibox.com/PLTV/4/224/3221225929/index.m3u8</t>
  </si>
  <si>
    <t>pltv_3221225931</t>
  </si>
  <si>
    <t>http://ott.mobaibox.com/PLTV/4/224/3221225931/index.m3u8</t>
  </si>
  <si>
    <t>pltv_3221225935</t>
  </si>
  <si>
    <t>http://ott.mobaibox.com/PLTV/4/224/3221225935/index.m3u8</t>
  </si>
  <si>
    <t>pltv_3221225945</t>
  </si>
  <si>
    <t>http://ott.mobaibox.com/PLTV/4/224/3221225945/index.m3u8</t>
  </si>
  <si>
    <t>pltv_3221225947</t>
  </si>
  <si>
    <t>http://ott.mobaibox.com/PLTV/4/224/3221225947/index.m3u8</t>
  </si>
  <si>
    <t>pltv_3221225949</t>
  </si>
  <si>
    <t>http://ott.mobaibox.com/PLTV/4/224/3221225949/index.m3u8</t>
  </si>
  <si>
    <t>pltv_3221225951</t>
  </si>
  <si>
    <t>http://ott.mobaibox.com/PLTV/4/224/3221225951/index.m3u8</t>
  </si>
  <si>
    <t>pltv_3221225956</t>
  </si>
  <si>
    <t>http://ott.mobaibox.com/PLTV/4/224/3221225956/index.m3u8</t>
  </si>
  <si>
    <t>pltv_3221226376</t>
  </si>
  <si>
    <t>http://ott.mobaibox.com/PLTV/4/224/3221226376/index.m3u8</t>
  </si>
  <si>
    <t>pltv_3221226939</t>
  </si>
  <si>
    <t>http://ott.mobaibox.com/PLTV/4/224/3221226939/index.m3u8</t>
  </si>
  <si>
    <t>pltv_3221226944</t>
  </si>
  <si>
    <t>http://ott.mobaibox.com/PLTV/4/224/3221226944/index.m3u8</t>
  </si>
  <si>
    <t>pltv_3221226993</t>
  </si>
  <si>
    <t>http://ott.mobaibox.com/PLTV/4/224/3221226993/index.m3u8</t>
  </si>
  <si>
    <t>pltv_3221226996</t>
  </si>
  <si>
    <t>http://ott.mobaibox.com/PLTV/4/224/3221226996/index.m3u8</t>
  </si>
  <si>
    <t>pltv_3221227022</t>
  </si>
  <si>
    <t>http://ott.mobaibox.com/PLTV/4/224/3221227022/index.m3u8</t>
  </si>
  <si>
    <t>pltv_3221227025</t>
  </si>
  <si>
    <t>http://ott.mobaibox.com/PLTV/4/224/3221227025/index.m3u8</t>
  </si>
  <si>
    <t>pltv_3221227166</t>
  </si>
  <si>
    <t>http://ott.mobaibox.com/PLTV/4/224/3221227166/index.m3u8</t>
  </si>
  <si>
    <t>pltv_3221227178</t>
  </si>
  <si>
    <t>http://ott.mobaibox.com/PLTV/4/224/3221227178/index.m3u8</t>
  </si>
  <si>
    <t>pltv_3221227194</t>
  </si>
  <si>
    <t>http://ott.mobaibox.com/PLTV/4/224/3221227194/index.m3u8</t>
  </si>
  <si>
    <t>pltv_3221227201</t>
  </si>
  <si>
    <t>http://ott.mobaibox.com/PLTV/4/224/3221227201/index.m3u8</t>
  </si>
  <si>
    <t>pltv_3221227205</t>
  </si>
  <si>
    <t>http://ott.mobaibox.com/PLTV/4/224/3221227205/index.m3u8</t>
  </si>
  <si>
    <t>pltv_3221227207</t>
  </si>
  <si>
    <t>http://ott.mobaibox.com/PLTV/4/224/3221227207/index.m3u8</t>
  </si>
  <si>
    <t>pltv_3221227208</t>
  </si>
  <si>
    <t>http://ott.mobaibox.com/PLTV/4/224/3221227208/index.m3u8</t>
  </si>
  <si>
    <t>pltv_3221227209</t>
  </si>
  <si>
    <t>http://ott.mobaibox.com/PLTV/4/224/3221227209/index.m3u8</t>
  </si>
  <si>
    <t>pltv_3221227211</t>
  </si>
  <si>
    <t>http://ott.mobaibox.com/PLTV/4/224/3221227211/index.m3u8</t>
  </si>
  <si>
    <t>pltv_3221227212</t>
  </si>
  <si>
    <t>http://ott.mobaibox.com/PLTV/4/224/3221227212/index.m3u8</t>
  </si>
  <si>
    <t>pltv_3221227213</t>
  </si>
  <si>
    <t>http://ott.mobaibox.com/PLTV/4/224/3221227213/index.m3u8</t>
  </si>
  <si>
    <t>pltv_3221227215</t>
  </si>
  <si>
    <t>http://ott.mobaibox.com/PLTV/4/224/3221227215/index.m3u8</t>
  </si>
  <si>
    <t>pltv_3221227217</t>
  </si>
  <si>
    <t>http://ott.mobaibox.com/PLTV/4/224/3221227217/index.m3u8</t>
  </si>
  <si>
    <t>pltv_3221227220</t>
  </si>
  <si>
    <t>http://ott.mobaibox.com/PLTV/4/224/3221227220/index.m3u8</t>
  </si>
  <si>
    <t>pltv_3221227246</t>
  </si>
  <si>
    <t>http://ott.mobaibox.com/PLTV/4/224/3221227246/index.m3u8</t>
  </si>
  <si>
    <t>pltv_3221227249</t>
  </si>
  <si>
    <t>http://ott.mobaibox.com/PLTV/4/224/3221227249/index.m3u8</t>
  </si>
  <si>
    <t>pltv_3221227252</t>
  </si>
  <si>
    <t>http://ott.mobaibox.com/PLTV/4/224/3221227252/index.m3u8</t>
  </si>
  <si>
    <t>pltv_3221227255</t>
  </si>
  <si>
    <t>http://ott.mobaibox.com/PLTV/4/224/3221227255/index.m3u8</t>
  </si>
  <si>
    <t>pltv_3221227258</t>
  </si>
  <si>
    <t>http://ott.mobaibox.com/PLTV/4/224/3221227258/index.m3u8</t>
  </si>
  <si>
    <t>pltv_3221227289</t>
  </si>
  <si>
    <t>http://ott.mobaibox.com/PLTV/4/224/3221227289/index.m3u8</t>
  </si>
  <si>
    <t>pltv_3221227295</t>
  </si>
  <si>
    <t>http://ott.mobaibox.com/PLTV/4/224/3221227295/index.m3u8</t>
  </si>
  <si>
    <t>pltv_3221227298</t>
  </si>
  <si>
    <t>http://ott.mobaibox.com/PLTV/4/224/3221227298/index.m3u8</t>
  </si>
  <si>
    <t>pltv_3221227301</t>
  </si>
  <si>
    <t>http://ott.mobaibox.com/PLTV/4/224/3221227301/index.m3u8</t>
  </si>
  <si>
    <t>pltv_3221227304</t>
  </si>
  <si>
    <t>http://ott.mobaibox.com/PLTV/4/224/3221227304/index.m3u8</t>
  </si>
  <si>
    <t>pltv_3221227307</t>
  </si>
  <si>
    <t>http://ott.mobaibox.com/PLTV/4/224/3221227307/index.m3u8</t>
  </si>
  <si>
    <t>pltv_3221227310</t>
  </si>
  <si>
    <t>http://ott.mobaibox.com/PLTV/4/224/3221227310/index.m3u8</t>
  </si>
  <si>
    <t>pltv_3221227314</t>
  </si>
  <si>
    <t>http://ott.mobaibox.com/PLTV/4/224/3221227314/index.m3u8</t>
  </si>
  <si>
    <t>pltv_3221227317</t>
  </si>
  <si>
    <t>http://ott.mobaibox.com/PLTV/4/224/3221227317/index.m3u8</t>
  </si>
  <si>
    <t>pltv_3221227320</t>
  </si>
  <si>
    <t>http://ott.mobaibox.com/PLTV/4/224/3221227320/index.m3u8</t>
  </si>
  <si>
    <t>pltv_3221227323</t>
  </si>
  <si>
    <t>http://ott.mobaibox.com/PLTV/4/224/3221227323/index.m3u8</t>
  </si>
  <si>
    <t>pltv_3221227325</t>
  </si>
  <si>
    <t>http://ott.mobaibox.com/PLTV/4/224/3221227325/index.m3u8</t>
  </si>
  <si>
    <t>pltv_3221227375</t>
  </si>
  <si>
    <t>http://ott.mobaibox.com/PLTV/4/224/3221227375/index.m3u8</t>
  </si>
  <si>
    <t>pltv_3221227377</t>
  </si>
  <si>
    <t>http://ott.mobaibox.com/PLTV/4/224/3221227377/index.m3u8</t>
  </si>
  <si>
    <t>pltv_3221227378</t>
  </si>
  <si>
    <t>http://ott.mobaibox.com/PLTV/4/224/3221227378/index.m3u8</t>
  </si>
  <si>
    <t>pltv_3221227380</t>
  </si>
  <si>
    <t>http://ott.mobaibox.com/PLTV/4/224/3221227380/index.m3u8</t>
  </si>
  <si>
    <t>pltv_3221227381</t>
  </si>
  <si>
    <t>http://ott.mobaibox.com/PLTV/4/224/3221227381/index.m3u8</t>
  </si>
  <si>
    <t>pltv_3221227382</t>
  </si>
  <si>
    <t>http://ott.mobaibox.com/PLTV/4/224/3221227382/index.m3u8</t>
  </si>
  <si>
    <t>pltv_3221227384</t>
  </si>
  <si>
    <t>http://ott.mobaibox.com/PLTV/4/224/3221227384/index.m3u8</t>
  </si>
  <si>
    <t>pltv_3221227387</t>
  </si>
  <si>
    <t>http://ott.mobaibox.com/PLTV/4/224/3221227387/index.m3u8</t>
  </si>
  <si>
    <t>pltv_3221227390</t>
  </si>
  <si>
    <t>http://ott.mobaibox.com/PLTV/4/224/3221227390/index.m3u8</t>
  </si>
  <si>
    <t>pltv_3221227393</t>
  </si>
  <si>
    <t>http://ott.mobaibox.com/PLTV/4/224/3221227393/index.m3u8</t>
  </si>
  <si>
    <t>pltv_3221227396</t>
  </si>
  <si>
    <t>http://ott.mobaibox.com/PLTV/4/224/3221227396/index.m3u8</t>
  </si>
  <si>
    <t>pltv_3221227399</t>
  </si>
  <si>
    <t>http://ott.mobaibox.com/PLTV/4/224/3221227399/index.m3u8</t>
  </si>
  <si>
    <t>pltv_3221227401</t>
  </si>
  <si>
    <t>http://ott.mobaibox.com/PLTV/4/224/3221227401/index.m3u8</t>
  </si>
  <si>
    <t>pltv_3221227402</t>
  </si>
  <si>
    <t>http://ott.mobaibox.com/PLTV/4/224/3221227402/index.m3u8</t>
  </si>
  <si>
    <t>pltv_3221227404</t>
  </si>
  <si>
    <t>http://ott.mobaibox.com/PLTV/4/224/3221227404/index.m3u8</t>
  </si>
  <si>
    <t>pltv_3221227407</t>
  </si>
  <si>
    <t>http://ott.mobaibox.com/PLTV/4/224/3221227407/index.m3u8</t>
  </si>
  <si>
    <t>pltv_3221227410</t>
  </si>
  <si>
    <t>http://ott.mobaibox.com/PLTV/4/224/3221227410/index.m3u8</t>
  </si>
  <si>
    <t>pltv_3221227424</t>
  </si>
  <si>
    <t>http://ott.mobaibox.com/PLTV/4/224/3221227424/index.m3u8</t>
  </si>
  <si>
    <t>pltv_3221227427</t>
  </si>
  <si>
    <t>http://ott.mobaibox.com/PLTV/4/224/3221227427/index.m3u8</t>
  </si>
  <si>
    <t>pltv_3221227430</t>
  </si>
  <si>
    <t>http://ott.mobaibox.com/PLTV/4/224/3221227430/index.m3u8</t>
  </si>
  <si>
    <t>pltv_3221227433</t>
  </si>
  <si>
    <t>http://ott.mobaibox.com/PLTV/4/224/3221227433/index.m3u8</t>
  </si>
  <si>
    <t>pltv_3221227436</t>
  </si>
  <si>
    <t>http://ott.mobaibox.com/PLTV/4/224/3221227436/index.m3u8</t>
  </si>
  <si>
    <t>pltv_3221227439</t>
  </si>
  <si>
    <t>http://ott.mobaibox.com/PLTV/4/224/3221227439/index.m3u8</t>
  </si>
  <si>
    <t>pltv_3221227442</t>
  </si>
  <si>
    <t>http://ott.mobaibox.com/PLTV/4/224/3221227442/index.m3u8</t>
  </si>
  <si>
    <t>pltv_3221227445</t>
  </si>
  <si>
    <t>http://ott.mobaibox.com/PLTV/4/224/3221227445/index.m3u8</t>
  </si>
  <si>
    <t>pltv_3221227448</t>
  </si>
  <si>
    <t>http://ott.mobaibox.com/PLTV/4/224/3221227448/index.m3u8</t>
  </si>
  <si>
    <t>pltv_3221227462</t>
  </si>
  <si>
    <t>http://ott.mobaibox.com/PLTV/4/224/3221227462/index.m3u8</t>
  </si>
  <si>
    <t>pltv_3221227467</t>
  </si>
  <si>
    <t>http://ott.mobaibox.com/PLTV/4/224/3221227467/index.m3u8</t>
  </si>
  <si>
    <t>pltv_3221227473</t>
  </si>
  <si>
    <t>http://ott.mobaibox.com/PLTV/4/224/3221227473/index.m3u8</t>
  </si>
  <si>
    <t>pltv_3221227475</t>
  </si>
  <si>
    <t>http://ott.mobaibox.com/PLTV/4/224/3221227475/index.m3u8</t>
  </si>
  <si>
    <t>pltv_3221227476</t>
  </si>
  <si>
    <t>http://ott.mobaibox.com/PLTV/4/224/3221227476/index.m3u8</t>
  </si>
  <si>
    <t>pltv_3221227479</t>
  </si>
  <si>
    <t>http://ott.mobaibox.com/PLTV/4/224/3221227479/index.m3u8</t>
  </si>
  <si>
    <t>pltv_3221227480</t>
  </si>
  <si>
    <t>http://ott.mobaibox.com/PLTV/4/224/3221227480/index.m3u8</t>
  </si>
  <si>
    <t>pltv_3221227482</t>
  </si>
  <si>
    <t>http://ott.mobaibox.com/PLTV/4/224/3221227482/index.m3u8</t>
  </si>
  <si>
    <t>pltv_3221227485</t>
  </si>
  <si>
    <t>http://ott.mobaibox.com/PLTV/4/224/3221227485/index.m3u8</t>
  </si>
  <si>
    <t>pltv_3221227486</t>
  </si>
  <si>
    <t>http://ott.mobaibox.com/PLTV/4/224/3221227486/index.m3u8</t>
  </si>
  <si>
    <t>pltv_3221227488</t>
  </si>
  <si>
    <t>http://ott.mobaibox.com/PLTV/4/224/3221227488/index.m3u8</t>
  </si>
  <si>
    <t>pltv_3221227489</t>
  </si>
  <si>
    <t>http://ott.mobaibox.com/PLTV/4/224/3221227489/index.m3u8</t>
  </si>
  <si>
    <t>pltv_3221227491</t>
  </si>
  <si>
    <t>http://ott.mobaibox.com/PLTV/4/224/3221227491/index.m3u8</t>
  </si>
  <si>
    <t>pltv_3221227492</t>
  </si>
  <si>
    <t>http://ott.mobaibox.com/PLTV/4/224/3221227492/index.m3u8</t>
  </si>
  <si>
    <t>pltv_3221227495</t>
  </si>
  <si>
    <t>http://ott.mobaibox.com/PLTV/4/224/3221227495/index.m3u8</t>
  </si>
  <si>
    <t>pltv_3221227498</t>
  </si>
  <si>
    <t>http://ott.mobaibox.com/PLTV/4/224/3221227498/index.m3u8</t>
  </si>
  <si>
    <t>pltv_3221227502</t>
  </si>
  <si>
    <t>http://ott.mobaibox.com/PLTV/4/224/3221227502/index.m3u8</t>
  </si>
  <si>
    <t>pltv_3221227505</t>
  </si>
  <si>
    <t>http://ott.mobaibox.com/PLTV/4/224/3221227505/index.m3u8</t>
  </si>
  <si>
    <t>pltv_3221227506</t>
  </si>
  <si>
    <t>http://ott.mobaibox.com/PLTV/4/224/3221227506/index.m3u8</t>
  </si>
  <si>
    <t>3840x2160</t>
  </si>
  <si>
    <t>pltv_3221227508</t>
  </si>
  <si>
    <t>http://ott.mobaibox.com/PLTV/4/224/3221227508/index.m3u8</t>
  </si>
  <si>
    <t>pltv_3221227511</t>
  </si>
  <si>
    <t>http://ott.mobaibox.com/PLTV/4/224/3221227511/index.m3u8</t>
  </si>
  <si>
    <t>pltv_3221227512</t>
  </si>
  <si>
    <t>http://ott.mobaibox.com/PLTV/4/224/3221227512/index.m3u8</t>
  </si>
  <si>
    <t>pltv_3221227514</t>
  </si>
  <si>
    <t>http://ott.mobaibox.com/PLTV/4/224/3221227514/index.m3u8</t>
  </si>
  <si>
    <t>pltv_3221227517</t>
  </si>
  <si>
    <t>http://ott.mobaibox.com/PLTV/4/224/3221227517/index.m3u8</t>
  </si>
  <si>
    <t>pltv_3221227520</t>
  </si>
  <si>
    <t>http://ott.mobaibox.com/PLTV/4/224/3221227520/index.m3u8</t>
  </si>
  <si>
    <t>pltv_3221227524</t>
  </si>
  <si>
    <t>http://ott.mobaibox.com/PLTV/4/224/3221227524/index.m3u8</t>
  </si>
  <si>
    <t>pltv_3221227527</t>
  </si>
  <si>
    <t>http://ott.mobaibox.com/PLTV/4/224/3221227527/index.m3u8</t>
  </si>
  <si>
    <t>pltv_3221227530</t>
  </si>
  <si>
    <t>http://ott.mobaibox.com/PLTV/4/224/3221227530/index.m3u8</t>
  </si>
  <si>
    <t>pltv_3221227536</t>
  </si>
  <si>
    <t>http://ott.mobaibox.com/PLTV/4/224/3221227536/index.m3u8</t>
  </si>
  <si>
    <t>pltv_3221227537</t>
  </si>
  <si>
    <t>http://ott.mobaibox.com/PLTV/4/224/3221227537/index.m3u8</t>
  </si>
  <si>
    <t>pltv_3221227538</t>
  </si>
  <si>
    <t>http://ott.mobaibox.com/PLTV/4/224/3221227538/index.m3u8</t>
  </si>
  <si>
    <t>pltv_3221227539</t>
  </si>
  <si>
    <t>http://ott.mobaibox.com/PLTV/4/224/3221227539/index.m3u8</t>
  </si>
  <si>
    <t>pltv_3221227541</t>
  </si>
  <si>
    <t>http://ott.mobaibox.com/PLTV/4/224/3221227541/index.m3u8</t>
  </si>
  <si>
    <t>pltv_3221227542</t>
  </si>
  <si>
    <t>http://ott.mobaibox.com/PLTV/4/224/3221227542/index.m3u8</t>
  </si>
  <si>
    <t>pltv_3221227543</t>
  </si>
  <si>
    <t>http://ott.mobaibox.com/PLTV/4/224/3221227543/index.m3u8</t>
  </si>
  <si>
    <t>pltv_3221227544</t>
  </si>
  <si>
    <t>http://ott.mobaibox.com/PLTV/4/224/3221227544/index.m3u8</t>
  </si>
  <si>
    <t>pltv_3221227545</t>
  </si>
  <si>
    <t>http://ott.mobaibox.com/PLTV/4/224/3221227545/index.m3u8</t>
  </si>
  <si>
    <t>pltv_3221227546</t>
  </si>
  <si>
    <t>http://ott.mobaibox.com/PLTV/4/224/3221227546/index.m3u8</t>
  </si>
  <si>
    <t>pltv_3221227547</t>
  </si>
  <si>
    <t>http://ott.mobaibox.com/PLTV/4/224/3221227547/index.m3u8</t>
  </si>
  <si>
    <t>pltv_3221227548</t>
  </si>
  <si>
    <t>http://ott.mobaibox.com/PLTV/4/224/3221227548/index.m3u8</t>
  </si>
  <si>
    <t>pltv_3221227549</t>
  </si>
  <si>
    <t>http://ott.mobaibox.com/PLTV/4/224/3221227549/index.m3u8</t>
  </si>
  <si>
    <t>pltv_3221227550</t>
  </si>
  <si>
    <t>http://ott.mobaibox.com/PLTV/4/224/3221227550/index.m3u8</t>
  </si>
  <si>
    <t>pltv_3221227551</t>
  </si>
  <si>
    <t>http://ott.mobaibox.com/PLTV/4/224/3221227551/index.m3u8</t>
  </si>
  <si>
    <t>pltv_3221227552</t>
  </si>
  <si>
    <t>http://ott.mobaibox.com/PLTV/4/224/3221227552/index.m3u8</t>
  </si>
  <si>
    <t>pltv_3221227553</t>
  </si>
  <si>
    <t>http://ott.mobaibox.com/PLTV/4/224/3221227553/index.m3u8</t>
  </si>
  <si>
    <t>pltv_3221227554</t>
  </si>
  <si>
    <t>http://ott.mobaibox.com/PLTV/4/224/3221227554/index.m3u8</t>
  </si>
  <si>
    <t>pltv_3221227555</t>
  </si>
  <si>
    <t>http://ott.mobaibox.com/PLTV/4/224/3221227555/index.m3u8</t>
  </si>
  <si>
    <t>pltv_3221227556</t>
  </si>
  <si>
    <t>http://ott.mobaibox.com/PLTV/4/224/3221227556/index.m3u8</t>
  </si>
  <si>
    <t>pltv_3221227558</t>
  </si>
  <si>
    <t>http://ott.mobaibox.com/PLTV/4/224/3221227558/index.m3u8</t>
  </si>
  <si>
    <t>pltv_3221227565</t>
  </si>
  <si>
    <t>http://ott.mobaibox.com/PLTV/4/224/3221227565/index.m3u8</t>
  </si>
  <si>
    <t>pltv_3221227568</t>
  </si>
  <si>
    <t>http://ott.mobaibox.com/PLTV/4/224/3221227568/index.m3u8</t>
  </si>
  <si>
    <t>pltv_3221227570</t>
  </si>
  <si>
    <t>http://ott.mobaibox.com/PLTV/4/224/3221227570/index.m3u8</t>
  </si>
  <si>
    <t>pltv_3221227571</t>
  </si>
  <si>
    <t>http://ott.mobaibox.com/PLTV/4/224/3221227571/index.m3u8</t>
  </si>
  <si>
    <t>pltv_3221227576</t>
  </si>
  <si>
    <t>http://ott.mobaibox.com/PLTV/4/224/3221227576/index.m3u8</t>
  </si>
  <si>
    <t>pltv_3221227578</t>
  </si>
  <si>
    <t>http://ott.mobaibox.com/PLTV/4/224/3221227578/index.m3u8</t>
  </si>
  <si>
    <t>pltv_3221227579</t>
  </si>
  <si>
    <t>http://ott.mobaibox.com/PLTV/4/224/3221227579/index.m3u8</t>
  </si>
  <si>
    <t>pltv_3221227581</t>
  </si>
  <si>
    <t>http://ott.mobaibox.com/PLTV/4/224/3221227581/index.m3u8</t>
  </si>
  <si>
    <t>pltv_3221227582</t>
  </si>
  <si>
    <t>http://ott.mobaibox.com/PLTV/4/224/3221227582/index.m3u8</t>
  </si>
  <si>
    <t>pltv_3221227585</t>
  </si>
  <si>
    <t>http://ott.mobaibox.com/PLTV/4/224/3221227585/index.m3u8</t>
  </si>
  <si>
    <t>pltv_3221227588</t>
  </si>
  <si>
    <t>http://ott.mobaibox.com/PLTV/4/224/3221227588/index.m3u8</t>
  </si>
  <si>
    <t>pltv_3221227589</t>
  </si>
  <si>
    <t>http://ott.mobaibox.com/PLTV/4/224/3221227589/index.m3u8</t>
  </si>
  <si>
    <t>pltv_3221227591</t>
  </si>
  <si>
    <t>http://ott.mobaibox.com/PLTV/4/224/3221227591/index.m3u8</t>
  </si>
  <si>
    <t>pltv_3221227592</t>
  </si>
  <si>
    <t>http://ott.mobaibox.com/PLTV/4/224/3221227592/index.m3u8</t>
  </si>
  <si>
    <t>pltv_3221227594</t>
  </si>
  <si>
    <t>http://ott.mobaibox.com/PLTV/4/224/3221227594/index.m3u8</t>
  </si>
  <si>
    <t>pltv_3221227597</t>
  </si>
  <si>
    <t>http://ott.mobaibox.com/PLTV/4/224/3221227597/index.m3u8</t>
  </si>
  <si>
    <t>pltv_3221227600</t>
  </si>
  <si>
    <t>http://ott.mobaibox.com/PLTV/4/224/3221227600/index.m3u8</t>
  </si>
  <si>
    <t>pltv_3221227603</t>
  </si>
  <si>
    <t>http://ott.mobaibox.com/PLTV/4/224/3221227603/index.m3u8</t>
  </si>
  <si>
    <t>pltv_3221227606</t>
  </si>
  <si>
    <t>http://ott.mobaibox.com/PLTV/4/224/3221227606/index.m3u8</t>
  </si>
  <si>
    <t>pltv_3221227611</t>
  </si>
  <si>
    <t>http://ott.mobaibox.com/PLTV/4/224/3221227611/index.m3u8</t>
  </si>
  <si>
    <t>pltv_3221227612</t>
  </si>
  <si>
    <t>http://ott.mobaibox.com/PLTV/4/224/3221227612/index.m3u8</t>
  </si>
  <si>
    <t>pltv_3221227614</t>
  </si>
  <si>
    <t>http://ott.mobaibox.com/PLTV/4/224/3221227614/index.m3u8</t>
  </si>
  <si>
    <t>pltv_3221227615</t>
  </si>
  <si>
    <t>http://ott.mobaibox.com/PLTV/4/224/3221227615/index.m3u8</t>
  </si>
  <si>
    <t>pltv_3221227617</t>
  </si>
  <si>
    <t>http://ott.mobaibox.com/PLTV/4/224/3221227617/index.m3u8</t>
  </si>
  <si>
    <t>pltv_3221227618</t>
  </si>
  <si>
    <t>http://ott.mobaibox.com/PLTV/4/224/3221227618/index.m3u8</t>
  </si>
  <si>
    <t>pltv_3221227620</t>
  </si>
  <si>
    <t>http://ott.mobaibox.com/PLTV/4/224/3221227620/index.m3u8</t>
  </si>
  <si>
    <t>pltv_3221227621</t>
  </si>
  <si>
    <t>http://ott.mobaibox.com/PLTV/4/224/3221227621/index.m3u8</t>
  </si>
  <si>
    <t>pltv_3221227624</t>
  </si>
  <si>
    <t>http://ott.mobaibox.com/PLTV/4/224/3221227624/index.m3u8</t>
  </si>
  <si>
    <t>pltv_3221227623</t>
  </si>
  <si>
    <t>http://ott.mobaibox.com/PLTV/4/224/3221227623/index.m3u8</t>
  </si>
  <si>
    <t>pltv_3221227626</t>
  </si>
  <si>
    <t>http://ott.mobaibox.com/PLTV/4/224/3221227626/index.m3u8</t>
  </si>
  <si>
    <t>pltv_3221227629</t>
  </si>
  <si>
    <t>http://ott.mobaibox.com/PLTV/4/224/3221227629/index.m3u8</t>
  </si>
  <si>
    <t>pltv_3221227631</t>
  </si>
  <si>
    <t>http://ott.mobaibox.com/PLTV/4/224/3221227631/index.m3u8</t>
  </si>
  <si>
    <t>pltv_3221227632</t>
  </si>
  <si>
    <t>http://ott.mobaibox.com/PLTV/4/224/3221227632/index.m3u8</t>
  </si>
  <si>
    <t>pltv_3221227633</t>
  </si>
  <si>
    <t>http://ott.mobaibox.com/PLTV/4/224/3221227633/index.m3u8</t>
  </si>
  <si>
    <t>pltv_3221227634</t>
  </si>
  <si>
    <t>http://ott.mobaibox.com/PLTV/4/224/3221227634/index.m3u8</t>
  </si>
  <si>
    <t>pltv_3221227637</t>
  </si>
  <si>
    <t>http://ott.mobaibox.com/PLTV/4/224/3221227637/index.m3u8</t>
  </si>
  <si>
    <t>pltv_3221227638</t>
  </si>
  <si>
    <t>http://ott.mobaibox.com/PLTV/4/224/3221227638/index.m3u8</t>
  </si>
  <si>
    <t>pltv_3221227640</t>
  </si>
  <si>
    <t>http://ott.mobaibox.com/PLTV/4/224/3221227640/index.m3u8</t>
  </si>
  <si>
    <t>pltv_3221227641</t>
  </si>
  <si>
    <t>http://ott.mobaibox.com/PLTV/4/224/3221227641/index.m3u8</t>
  </si>
  <si>
    <t>pltv_3221227642</t>
  </si>
  <si>
    <t>http://ott.mobaibox.com/PLTV/4/224/3221227642/index.m3u8</t>
  </si>
  <si>
    <t>pltv_3221227643</t>
  </si>
  <si>
    <t>http://ott.mobaibox.com/PLTV/4/224/3221227643/index.m3u8</t>
  </si>
  <si>
    <t>pltv_3221227644</t>
  </si>
  <si>
    <t>http://ott.mobaibox.com/PLTV/4/224/3221227644/index.m3u8</t>
  </si>
  <si>
    <t>pltv_3221227650</t>
  </si>
  <si>
    <t>http://ott.mobaibox.com/PLTV/4/224/3221227650/index.m3u8</t>
  </si>
  <si>
    <t>pltv_3221227652</t>
  </si>
  <si>
    <t>http://ott.mobaibox.com/PLTV/4/224/3221227652/index.m3u8</t>
  </si>
  <si>
    <t>pltv_3221227653</t>
  </si>
  <si>
    <t>http://ott.mobaibox.com/PLTV/4/224/3221227653/index.m3u8</t>
  </si>
  <si>
    <t>pltv_3221227655</t>
  </si>
  <si>
    <t>http://ott.mobaibox.com/PLTV/4/224/3221227655/index.m3u8</t>
  </si>
  <si>
    <t>pltv_3221227656</t>
  </si>
  <si>
    <t>http://ott.mobaibox.com/PLTV/4/224/3221227656/index.m3u8</t>
  </si>
  <si>
    <t>pltv_3221227658</t>
  </si>
  <si>
    <t>http://ott.mobaibox.com/PLTV/4/224/3221227658/index.m3u8</t>
  </si>
  <si>
    <t>pltv_3221227659</t>
  </si>
  <si>
    <t>http://ott.mobaibox.com/PLTV/4/224/3221227659/index.m3u8</t>
  </si>
  <si>
    <t>pltv_3221227661</t>
  </si>
  <si>
    <t>http://ott.mobaibox.com/PLTV/4/224/3221227661/index.m3u8</t>
  </si>
  <si>
    <t>pltv_3221227662</t>
  </si>
  <si>
    <t>http://ott.mobaibox.com/PLTV/4/224/3221227662/index.m3u8</t>
  </si>
  <si>
    <t>pltv_3221227664</t>
  </si>
  <si>
    <t>http://ott.mobaibox.com/PLTV/4/224/3221227664/index.m3u8</t>
  </si>
  <si>
    <t>pltv_3221227665</t>
  </si>
  <si>
    <t>http://ott.mobaibox.com/PLTV/4/224/3221227665/index.m3u8</t>
  </si>
  <si>
    <t>pltv_3221227667</t>
  </si>
  <si>
    <t>http://ott.mobaibox.com/PLTV/4/224/3221227667/index.m3u8</t>
  </si>
  <si>
    <t>pltv_3221227668</t>
  </si>
  <si>
    <t>http://ott.mobaibox.com/PLTV/4/224/3221227668/index.m3u8</t>
  </si>
  <si>
    <t>pltv_3221227670</t>
  </si>
  <si>
    <t>http://ott.mobaibox.com/PLTV/4/224/3221227670/index.m3u8</t>
  </si>
  <si>
    <t>pltv_3221227671</t>
  </si>
  <si>
    <t>http://ott.mobaibox.com/PLTV/4/224/3221227671/index.m3u8</t>
  </si>
  <si>
    <t>pltv_3221227673</t>
  </si>
  <si>
    <t>http://ott.mobaibox.com/PLTV/4/224/3221227673/index.m3u8</t>
  </si>
  <si>
    <t>pltv_3221227675</t>
  </si>
  <si>
    <t>http://ott.mobaibox.com/PLTV/4/224/3221227675/index.m3u8</t>
  </si>
  <si>
    <t>pltv_3221227676</t>
  </si>
  <si>
    <t>http://ott.mobaibox.com/PLTV/4/224/3221227676/index.m3u8</t>
  </si>
  <si>
    <t>pltv_3221227677</t>
  </si>
  <si>
    <t>http://ott.mobaibox.com/PLTV/4/224/3221227677/index.m3u8</t>
  </si>
  <si>
    <t>pltv_3221227678</t>
  </si>
  <si>
    <t>http://ott.mobaibox.com/PLTV/4/224/3221227678/index.m3u8</t>
  </si>
  <si>
    <t>pltv_3221227681</t>
  </si>
  <si>
    <t>http://ott.mobaibox.com/PLTV/4/224/3221227681/index.m3u8</t>
  </si>
  <si>
    <t>pltv_3221227683</t>
  </si>
  <si>
    <t>http://ott.mobaibox.com/PLTV/4/224/3221227683/index.m3u8</t>
  </si>
  <si>
    <t>pltv_3221227685</t>
  </si>
  <si>
    <t>http://ott.mobaibox.com/PLTV/4/224/3221227685/index.m3u8</t>
  </si>
  <si>
    <t>pltv_3221227686</t>
  </si>
  <si>
    <t>http://ott.mobaibox.com/PLTV/4/224/3221227686/index.m3u8</t>
  </si>
  <si>
    <t>pltv_3221227688</t>
  </si>
  <si>
    <t>http://ott.mobaibox.com/PLTV/4/224/3221227688/index.m3u8</t>
  </si>
  <si>
    <t>pltv_3221227689</t>
  </si>
  <si>
    <t>http://ott.mobaibox.com/PLTV/4/224/3221227689/index.m3u8</t>
  </si>
  <si>
    <t>pltv_3221227691</t>
  </si>
  <si>
    <t>http://ott.mobaibox.com/PLTV/4/224/3221227691/index.m3u8</t>
  </si>
  <si>
    <t>pltv_3221227692</t>
  </si>
  <si>
    <t>http://ott.mobaibox.com/PLTV/4/224/3221227692/index.m3u8</t>
  </si>
  <si>
    <t>pltv_3221227693</t>
  </si>
  <si>
    <t>http://ott.mobaibox.com/PLTV/4/224/3221227693/index.m3u8</t>
  </si>
  <si>
    <t>pltv_3221227694</t>
  </si>
  <si>
    <t>http://ott.mobaibox.com/PLTV/4/224/3221227694/index.m3u8</t>
  </si>
  <si>
    <t>pltv_3221227695</t>
  </si>
  <si>
    <t>http://ott.mobaibox.com/PLTV/4/224/3221227695/index.m3u8</t>
  </si>
  <si>
    <t>pltv_3221227696</t>
  </si>
  <si>
    <t>http://ott.mobaibox.com/PLTV/4/224/3221227696/index.m3u8</t>
  </si>
  <si>
    <t>pltv_3221227697</t>
  </si>
  <si>
    <t>http://ott.mobaibox.com/PLTV/4/224/3221227697/index.m3u8</t>
  </si>
  <si>
    <t>pltv_3221227698</t>
  </si>
  <si>
    <t>http://ott.mobaibox.com/PLTV/4/224/3221227698/index.m3u8</t>
  </si>
  <si>
    <t>pltv_3221227699</t>
  </si>
  <si>
    <t>http://ott.mobaibox.com/PLTV/4/224/3221227699/index.m3u8</t>
  </si>
  <si>
    <t>pltv_3221227700</t>
  </si>
  <si>
    <t>http://ott.mobaibox.com/PLTV/4/224/3221227700/index.m3u8</t>
  </si>
  <si>
    <t>pltv_3221227703</t>
  </si>
  <si>
    <t>http://ott.mobaibox.com/PLTV/4/224/3221227703/index.m3u8</t>
  </si>
  <si>
    <t>pltv_3221227704</t>
  </si>
  <si>
    <t>http://ott.mobaibox.com/PLTV/4/224/3221227704/index.m3u8</t>
  </si>
  <si>
    <t>pltv_3221227705</t>
  </si>
  <si>
    <t>http://ott.mobaibox.com/PLTV/4/224/3221227705/index.m3u8</t>
  </si>
  <si>
    <t>pltv_3221227706</t>
  </si>
  <si>
    <t>http://ott.mobaibox.com/PLTV/4/224/3221227706/index.m3u8</t>
  </si>
  <si>
    <t>pltv_3221227708</t>
  </si>
  <si>
    <t>http://ott.mobaibox.com/PLTV/4/224/3221227708/index.m3u8</t>
  </si>
  <si>
    <t>pltv_3221227709</t>
  </si>
  <si>
    <t>http://ott.mobaibox.com/PLTV/4/224/3221227709/index.m3u8</t>
  </si>
  <si>
    <t>pltv_3221227712</t>
  </si>
  <si>
    <t>http://ott.mobaibox.com/PLTV/4/224/3221227712/index.m3u8</t>
  </si>
  <si>
    <t>pltv_3221227714</t>
  </si>
  <si>
    <t>http://ott.mobaibox.com/PLTV/4/224/3221227714/index.m3u8</t>
  </si>
  <si>
    <t>pltv_3221227717</t>
  </si>
  <si>
    <t>http://ott.mobaibox.com/PLTV/4/224/3221227717/index.m3u8</t>
  </si>
  <si>
    <t>pltv_3221227719</t>
  </si>
  <si>
    <t>http://ott.mobaibox.com/PLTV/4/224/3221227719/index.m3u8</t>
  </si>
  <si>
    <t>pltv_3221227720</t>
  </si>
  <si>
    <t>http://ott.mobaibox.com/PLTV/4/224/3221227720/index.m3u8</t>
  </si>
  <si>
    <t>pltv_3221227722</t>
  </si>
  <si>
    <t>http://ott.mobaibox.com/PLTV/4/224/3221227722/index.m3u8</t>
  </si>
  <si>
    <t>pltv_3221227723</t>
  </si>
  <si>
    <t>http://ott.mobaibox.com/PLTV/4/224/3221227723/index.m3u8</t>
  </si>
  <si>
    <t>pltv_3221227725</t>
  </si>
  <si>
    <t>http://ott.mobaibox.com/PLTV/4/224/3221227725/index.m3u8</t>
  </si>
  <si>
    <t>pltv_3221227726</t>
  </si>
  <si>
    <t>http://ott.mobaibox.com/PLTV/4/224/3221227726/index.m3u8</t>
  </si>
  <si>
    <t>pltv_3221227729</t>
  </si>
  <si>
    <t>http://ott.mobaibox.com/PLTV/4/224/3221227729/index.m3u8</t>
  </si>
  <si>
    <t>pltv_3221227730</t>
  </si>
  <si>
    <t>http://ott.mobaibox.com/PLTV/4/224/3221227730/index.m3u8</t>
  </si>
  <si>
    <t>pltv_3221227732</t>
  </si>
  <si>
    <t>http://ott.mobaibox.com/PLTV/4/224/3221227732/index.m3u8</t>
  </si>
  <si>
    <t>pltv_3221227733</t>
  </si>
  <si>
    <t>http://ott.mobaibox.com/PLTV/4/224/3221227733/index.m3u8</t>
  </si>
  <si>
    <t>pltv_3221227735</t>
  </si>
  <si>
    <t>http://ott.mobaibox.com/PLTV/4/224/3221227735/index.m3u8</t>
  </si>
  <si>
    <t>pltv_3221227738</t>
  </si>
  <si>
    <t>http://ott.mobaibox.com/PLTV/4/224/3221227738/index.m3u8</t>
  </si>
  <si>
    <t>pltv_3221227739</t>
  </si>
  <si>
    <t>http://ott.mobaibox.com/PLTV/4/224/3221227739/index.m3u8</t>
  </si>
  <si>
    <t>pltv_3221227741</t>
  </si>
  <si>
    <t>http://ott.mobaibox.com/PLTV/4/224/3221227741/index.m3u8</t>
  </si>
  <si>
    <t>pltv_3221227744</t>
  </si>
  <si>
    <t>http://ott.mobaibox.com/PLTV/4/224/3221227744/index.m3u8</t>
  </si>
  <si>
    <t>pltv_3221227750</t>
  </si>
  <si>
    <t>http://ott.mobaibox.com/PLTV/4/224/3221227750/index.m3u8</t>
  </si>
  <si>
    <t>pltv_3221227752</t>
  </si>
  <si>
    <t>http://ott.mobaibox.com/PLTV/4/224/3221227752/index.m3u8</t>
  </si>
  <si>
    <t>pltv_3221227753</t>
  </si>
  <si>
    <t>http://ott.mobaibox.com/PLTV/4/224/3221227753/index.m3u8</t>
  </si>
  <si>
    <t>pltv_3221227755</t>
  </si>
  <si>
    <t>http://ott.mobaibox.com/PLTV/4/224/3221227755/index.m3u8</t>
  </si>
  <si>
    <t>pltv_3221227756</t>
  </si>
  <si>
    <t>http://ott.mobaibox.com/PLTV/4/224/3221227756/index.m3u8</t>
  </si>
  <si>
    <t>pltv_3221227759</t>
  </si>
  <si>
    <t>http://ott.mobaibox.com/PLTV/4/224/3221227759/index.m3u8</t>
  </si>
  <si>
    <t>pltv_3221227758</t>
  </si>
  <si>
    <t>http://ott.mobaibox.com/PLTV/4/224/3221227758/index.m3u8</t>
  </si>
  <si>
    <t>pltv_3221227786</t>
  </si>
  <si>
    <t>http://ott.mobaibox.com/PLTV/4/224/3221227786/index.m3u8</t>
  </si>
  <si>
    <t>pltv_3221227792</t>
  </si>
  <si>
    <t>http://ott.mobaibox.com/PLTV/4/224/3221227792/index.m3u8</t>
  </si>
  <si>
    <t>pltv_3221227816</t>
  </si>
  <si>
    <t>http://ott.mobaibox.com/PLTV/4/224/3221227816/index.m3u8</t>
  </si>
  <si>
    <t>pltv_3221227819</t>
  </si>
  <si>
    <t>http://ott.mobaibox.com/PLTV/4/224/3221227819/index.m3u8</t>
  </si>
  <si>
    <t>pltv_3221227896</t>
  </si>
  <si>
    <t>http://ott.mobaibox.com/PLTV/4/224/3221227896/index.m3u8</t>
  </si>
  <si>
    <t>pltv_3221227899</t>
  </si>
  <si>
    <t>http://ott.mobaibox.com/PLTV/4/224/3221227899/index.m3u8</t>
  </si>
  <si>
    <t>pltv_3221227902</t>
  </si>
  <si>
    <t>http://ott.mobaibox.com/PLTV/4/224/3221227902/index.m3u8</t>
  </si>
  <si>
    <t>pltv_3221227905</t>
  </si>
  <si>
    <t>http://ott.mobaibox.com/PLTV/4/224/3221227905/index.m3u8</t>
  </si>
  <si>
    <t>pltv_3221227934</t>
  </si>
  <si>
    <t>http://ott.mobaibox.com/PLTV/4/224/3221227934/index.m3u8</t>
  </si>
  <si>
    <t>pltv_3221227937</t>
  </si>
  <si>
    <t>http://ott.mobaibox.com/PLTV/4/224/3221227937/index.m3u8</t>
  </si>
  <si>
    <t>pltv_3221227940</t>
  </si>
  <si>
    <t>http://ott.mobaibox.com/PLTV/4/224/3221227940/index.m3u8</t>
  </si>
  <si>
    <t>pltv_3221227943</t>
  </si>
  <si>
    <t>http://ott.mobaibox.com/PLTV/4/224/3221227943/index.m3u8</t>
  </si>
  <si>
    <t>pltv_3221227946</t>
  </si>
  <si>
    <t>http://ott.mobaibox.com/PLTV/4/224/3221227946/index.m3u8</t>
  </si>
  <si>
    <t>pltv_3221227949</t>
  </si>
  <si>
    <t>http://ott.mobaibox.com/PLTV/4/224/3221227949/index.m3u8</t>
  </si>
  <si>
    <t>pltv_3221227952</t>
  </si>
  <si>
    <t>http://ott.mobaibox.com/PLTV/4/224/3221227952/index.m3u8</t>
  </si>
  <si>
    <t>pltv_3221227955</t>
  </si>
  <si>
    <t>http://ott.mobaibox.com/PLTV/4/224/3221227955/index.m3u8</t>
  </si>
  <si>
    <t>pltv_3221227984</t>
  </si>
  <si>
    <t>http://ott.mobaibox.com/PLTV/4/224/3221227984/index.m3u8</t>
  </si>
  <si>
    <t>pltv_3221227987</t>
  </si>
  <si>
    <t>http://ott.mobaibox.com/PLTV/4/224/3221227987/index.m3u8</t>
  </si>
  <si>
    <t>pltv_3221227990</t>
  </si>
  <si>
    <t>http://ott.mobaibox.com/PLTV/4/224/3221227990/index.m3u8</t>
  </si>
  <si>
    <t>pltv_3221228007</t>
  </si>
  <si>
    <t>http://ott.mobaibox.com/PLTV/4/224/3221228007/index.m3u8</t>
  </si>
  <si>
    <t>pltv_3221228028</t>
  </si>
  <si>
    <t>http://ott.mobaibox.com/PLTV/4/224/3221228028/index.m3u8</t>
  </si>
  <si>
    <t>pltv_3221228039</t>
  </si>
  <si>
    <t>http://ott.mobaibox.com/PLTV/4/224/3221228039/index.m3u8</t>
  </si>
  <si>
    <t>pltv_3221228049</t>
  </si>
  <si>
    <t>http://ott.mobaibox.com/PLTV/4/224/3221228049/index.m3u8</t>
  </si>
  <si>
    <t>pltv_3221228055</t>
  </si>
  <si>
    <t>http://ott.mobaibox.com/PLTV/4/224/3221228055/index.m3u8</t>
  </si>
  <si>
    <t>pltv_3221228076</t>
  </si>
  <si>
    <t>http://ott.mobaibox.com/PLTV/4/224/3221228076/index.m3u8</t>
  </si>
  <si>
    <t>pltv_3221228079</t>
  </si>
  <si>
    <t>http://ott.mobaibox.com/PLTV/4/224/3221228079/index.m3u8</t>
  </si>
  <si>
    <t>pltv_3221228081</t>
  </si>
  <si>
    <t>http://ott.mobaibox.com/PLTV/4/224/3221228081/index.m3u8</t>
  </si>
  <si>
    <t>pltv_3221228082</t>
  </si>
  <si>
    <t>http://ott.mobaibox.com/PLTV/4/224/3221228082/index.m3u8</t>
  </si>
  <si>
    <t>pltv_3221228084</t>
  </si>
  <si>
    <t>http://ott.mobaibox.com/PLTV/4/224/3221228084/index.m3u8</t>
  </si>
  <si>
    <t>pltv_3221228091</t>
  </si>
  <si>
    <t>http://ott.mobaibox.com/PLTV/4/224/3221228091/index.m3u8</t>
  </si>
  <si>
    <t>pltv_3221228094</t>
  </si>
  <si>
    <t>http://ott.mobaibox.com/PLTV/4/224/3221228094/index.m3u8</t>
  </si>
  <si>
    <t>pltv_3221228097</t>
  </si>
  <si>
    <t>http://ott.mobaibox.com/PLTV/4/224/3221228097/index.m3u8</t>
  </si>
  <si>
    <t>pltv_3221228099</t>
  </si>
  <si>
    <t>http://ott.mobaibox.com/PLTV/4/224/3221228099/index.m3u8</t>
  </si>
  <si>
    <t>pltv_3221228100</t>
  </si>
  <si>
    <t>http://ott.mobaibox.com/PLTV/4/224/3221228100/index.m3u8</t>
  </si>
  <si>
    <t>pltv_3221228101</t>
  </si>
  <si>
    <t>http://ott.mobaibox.com/PLTV/4/224/3221228101/index.m3u8</t>
  </si>
  <si>
    <t>pltv_3221228103</t>
  </si>
  <si>
    <t>http://ott.mobaibox.com/PLTV/4/224/3221228103/index.m3u8</t>
  </si>
  <si>
    <t>pltv_3221228106</t>
  </si>
  <si>
    <t>http://ott.mobaibox.com/PLTV/4/224/3221228106/index.m3u8</t>
  </si>
  <si>
    <t>pltv_3221228109</t>
  </si>
  <si>
    <t>http://ott.mobaibox.com/PLTV/4/224/3221228109/index.m3u8</t>
  </si>
  <si>
    <t>pltv_3221228112</t>
  </si>
  <si>
    <t>http://ott.mobaibox.com/PLTV/4/224/3221228112/index.m3u8</t>
  </si>
  <si>
    <t>pltv_3221228114</t>
  </si>
  <si>
    <t>http://ott.mobaibox.com/PLTV/4/224/3221228114/index.m3u8</t>
  </si>
  <si>
    <t>pltv_3221228115</t>
  </si>
  <si>
    <t>http://ott.mobaibox.com/PLTV/4/224/3221228115/index.m3u8</t>
  </si>
  <si>
    <t>pltv_3221228118</t>
  </si>
  <si>
    <t>http://ott.mobaibox.com/PLTV/4/224/3221228118/index.m3u8</t>
  </si>
  <si>
    <t>pltv_3221228121</t>
  </si>
  <si>
    <t>http://ott.mobaibox.com/PLTV/4/224/3221228121/index.m3u8</t>
  </si>
  <si>
    <t>pltv_3221228123</t>
  </si>
  <si>
    <t>http://ott.mobaibox.com/PLTV/4/224/3221228123/index.m3u8</t>
  </si>
  <si>
    <t>pltv_3221228124</t>
  </si>
  <si>
    <t>http://ott.mobaibox.com/PLTV/4/224/3221228124/index.m3u8</t>
  </si>
  <si>
    <t>pltv_3221228126</t>
  </si>
  <si>
    <t>http://ott.mobaibox.com/PLTV/4/224/3221228126/index.m3u8</t>
  </si>
  <si>
    <t>pltv_3221228129</t>
  </si>
  <si>
    <t>http://ott.mobaibox.com/PLTV/4/224/3221228129/index.m3u8</t>
  </si>
  <si>
    <t>pltv_3221228130</t>
  </si>
  <si>
    <t>http://ott.mobaibox.com/PLTV/4/224/3221228130/index.m3u8</t>
  </si>
  <si>
    <t>pltv_3221228132</t>
  </si>
  <si>
    <t>http://ott.mobaibox.com/PLTV/4/224/3221228132/index.m3u8</t>
  </si>
  <si>
    <t>pltv_3221228133</t>
  </si>
  <si>
    <t>http://ott.mobaibox.com/PLTV/4/224/3221228133/index.m3u8</t>
  </si>
  <si>
    <t>pltv_3221228136</t>
  </si>
  <si>
    <t>http://ott.mobaibox.com/PLTV/4/224/3221228136/index.m3u8</t>
  </si>
  <si>
    <t>pltv_3221228138</t>
  </si>
  <si>
    <t>http://ott.mobaibox.com/PLTV/4/224/3221228138/index.m3u8</t>
  </si>
  <si>
    <t>pltv_3221228139</t>
  </si>
  <si>
    <t>http://ott.mobaibox.com/PLTV/4/224/3221228139/index.m3u8</t>
  </si>
  <si>
    <t>pltv_3221228141</t>
  </si>
  <si>
    <t>http://ott.mobaibox.com/PLTV/4/224/3221228141/index.m3u8</t>
  </si>
  <si>
    <t>pltv_3221228144</t>
  </si>
  <si>
    <t>http://ott.mobaibox.com/PLTV/4/224/3221228144/index.m3u8</t>
  </si>
  <si>
    <t>pltv_3221228146</t>
  </si>
  <si>
    <t>http://ott.mobaibox.com/PLTV/4/224/3221228146/index.m3u8</t>
  </si>
  <si>
    <t>pltv_3221228147</t>
  </si>
  <si>
    <t>http://ott.mobaibox.com/PLTV/4/224/3221228147/index.m3u8</t>
  </si>
  <si>
    <t>pltv_3221228149</t>
  </si>
  <si>
    <t>http://ott.mobaibox.com/PLTV/4/224/3221228149/index.m3u8</t>
  </si>
  <si>
    <t>pltv_3221228150</t>
  </si>
  <si>
    <t>http://ott.mobaibox.com/PLTV/4/224/3221228150/index.m3u8</t>
  </si>
  <si>
    <t>pltv_3221228152</t>
  </si>
  <si>
    <t>http://ott.mobaibox.com/PLTV/4/224/3221228152/index.m3u8</t>
  </si>
  <si>
    <t>pltv_3221228153</t>
  </si>
  <si>
    <t>http://ott.mobaibox.com/PLTV/4/224/3221228153/index.m3u8</t>
  </si>
  <si>
    <t>pltv_3221228156</t>
  </si>
  <si>
    <t>http://ott.mobaibox.com/PLTV/4/224/3221228156/index.m3u8</t>
  </si>
  <si>
    <t>pltv_3221228159</t>
  </si>
  <si>
    <t>http://ott.mobaibox.com/PLTV/4/224/3221228159/index.m3u8</t>
  </si>
  <si>
    <t>pltv_3221228162</t>
  </si>
  <si>
    <t>http://ott.mobaibox.com/PLTV/4/224/3221228162/index.m3u8</t>
  </si>
  <si>
    <t>pltv_3221228166</t>
  </si>
  <si>
    <t>http://ott.mobaibox.com/PLTV/4/224/3221228166/index.m3u8</t>
  </si>
  <si>
    <t>pltv_3221228165</t>
  </si>
  <si>
    <t>http://ott.mobaibox.com/PLTV/4/224/3221228165/index.m3u8</t>
  </si>
  <si>
    <t>pltv_3221228168</t>
  </si>
  <si>
    <t>http://ott.mobaibox.com/PLTV/4/224/3221228168/index.m3u8</t>
  </si>
  <si>
    <t>pltv_3221228169</t>
  </si>
  <si>
    <t>http://ott.mobaibox.com/PLTV/4/224/3221228169/index.m3u8</t>
  </si>
  <si>
    <t>pltv_3221228171</t>
  </si>
  <si>
    <t>http://ott.mobaibox.com/PLTV/4/224/3221228171/index.m3u8</t>
  </si>
  <si>
    <t>pltv_3221228172</t>
  </si>
  <si>
    <t>http://ott.mobaibox.com/PLTV/4/224/3221228172/index.m3u8</t>
  </si>
  <si>
    <t>pltv_3221228173</t>
  </si>
  <si>
    <t>http://ott.mobaibox.com/PLTV/4/224/3221228173/index.m3u8</t>
  </si>
  <si>
    <t>pltv_3221228176</t>
  </si>
  <si>
    <t>http://ott.mobaibox.com/PLTV/4/224/3221228176/index.m3u8</t>
  </si>
  <si>
    <t>pltv_3221228179</t>
  </si>
  <si>
    <t>http://ott.mobaibox.com/PLTV/4/224/3221228179/index.m3u8</t>
  </si>
  <si>
    <t>pltv_3221228183</t>
  </si>
  <si>
    <t>http://ott.mobaibox.com/PLTV/4/224/3221228183/index.m3u8</t>
  </si>
  <si>
    <t>pltv_3221228185</t>
  </si>
  <si>
    <t>http://ott.mobaibox.com/PLTV/4/224/3221228185/index.m3u8</t>
  </si>
  <si>
    <t>pltv_3221228188</t>
  </si>
  <si>
    <t>http://ott.mobaibox.com/PLTV/4/224/3221228188/index.m3u8</t>
  </si>
  <si>
    <t>pltv_3221228193</t>
  </si>
  <si>
    <t>http://ott.mobaibox.com/PLTV/4/224/3221228193/index.m3u8</t>
  </si>
  <si>
    <t>pltv_3221228194</t>
  </si>
  <si>
    <t>http://ott.mobaibox.com/PLTV/4/224/3221228194/index.m3u8</t>
  </si>
  <si>
    <t>pltv_3221228196</t>
  </si>
  <si>
    <t>http://ott.mobaibox.com/PLTV/4/224/3221228196/index.m3u8</t>
  </si>
  <si>
    <t>pltv_3221228204</t>
  </si>
  <si>
    <t>http://ott.mobaibox.com/PLTV/4/224/3221228204/index.m3u8</t>
  </si>
  <si>
    <t>pltv_3221228206</t>
  </si>
  <si>
    <t>http://ott.mobaibox.com/PLTV/4/224/3221228206/index.m3u8</t>
  </si>
  <si>
    <t>pltv_3221228208</t>
  </si>
  <si>
    <t>http://ott.mobaibox.com/PLTV/4/224/3221228208/index.m3u8</t>
  </si>
  <si>
    <t>pltv_3221228209</t>
  </si>
  <si>
    <t>http://ott.mobaibox.com/PLTV/4/224/3221228209/index.m3u8</t>
  </si>
  <si>
    <t>pltv_3221228210</t>
  </si>
  <si>
    <t>http://ott.mobaibox.com/PLTV/4/224/3221228210/index.m3u8</t>
  </si>
  <si>
    <t>pltv_3221228212</t>
  </si>
  <si>
    <t>http://ott.mobaibox.com/PLTV/4/224/3221228212/index.m3u8</t>
  </si>
  <si>
    <t>pltv_3221228213</t>
  </si>
  <si>
    <t>http://ott.mobaibox.com/PLTV/4/224/3221228213/index.m3u8</t>
  </si>
  <si>
    <t>pltv_3221228215</t>
  </si>
  <si>
    <t>http://ott.mobaibox.com/PLTV/4/224/3221228215/index.m3u8</t>
  </si>
  <si>
    <t>pltv_3221228221</t>
  </si>
  <si>
    <t>http://ott.mobaibox.com/PLTV/4/224/3221228221/index.m3u8</t>
  </si>
  <si>
    <t>pltv_3221228224</t>
  </si>
  <si>
    <t>http://ott.mobaibox.com/PLTV/4/224/3221228224/index.m3u8</t>
  </si>
  <si>
    <t>pltv_3221228227</t>
  </si>
  <si>
    <t>http://ott.mobaibox.com/PLTV/4/224/3221228227/index.m3u8</t>
  </si>
  <si>
    <t>pltv_3221228228</t>
  </si>
  <si>
    <t>http://ott.mobaibox.com/PLTV/4/224/3221228228/index.m3u8</t>
  </si>
  <si>
    <t>pltv_3221228230</t>
  </si>
  <si>
    <t>http://ott.mobaibox.com/PLTV/4/224/3221228230/index.m3u8</t>
  </si>
  <si>
    <t>pltv_3221228231</t>
  </si>
  <si>
    <t>http://ott.mobaibox.com/PLTV/4/224/3221228231/index.m3u8</t>
  </si>
  <si>
    <t>pltv_3221228233</t>
  </si>
  <si>
    <t>http://ott.mobaibox.com/PLTV/4/224/3221228233/index.m3u8</t>
  </si>
  <si>
    <t>pltv_3221228234</t>
  </si>
  <si>
    <t>http://ott.mobaibox.com/PLTV/4/224/3221228234/index.m3u8</t>
  </si>
  <si>
    <t>pltv_3221228236</t>
  </si>
  <si>
    <t>http://ott.mobaibox.com/PLTV/4/224/3221228236/index.m3u8</t>
  </si>
  <si>
    <t>pltv_3221228237</t>
  </si>
  <si>
    <t>http://ott.mobaibox.com/PLTV/4/224/3221228237/index.m3u8</t>
  </si>
  <si>
    <t>pltv_3221228239</t>
  </si>
  <si>
    <t>http://ott.mobaibox.com/PLTV/4/224/3221228239/index.m3u8</t>
  </si>
  <si>
    <t>pltv_3221228242</t>
  </si>
  <si>
    <t>http://ott.mobaibox.com/PLTV/4/224/3221228242/index.m3u8</t>
  </si>
  <si>
    <t>pltv_3221228246</t>
  </si>
  <si>
    <t>http://ott.mobaibox.com/PLTV/4/224/3221228246/index.m3u8</t>
  </si>
  <si>
    <t>pltv_3221228249</t>
  </si>
  <si>
    <t>http://ott.mobaibox.com/PLTV/4/224/3221228249/index.m3u8</t>
  </si>
  <si>
    <t>pltv_3221228277</t>
  </si>
  <si>
    <t>http://ott.mobaibox.com/PLTV/4/224/3221228277/index.m3u8</t>
  </si>
  <si>
    <t>pltv_3221228280</t>
  </si>
  <si>
    <t>http://ott.mobaibox.com/PLTV/4/224/3221228280/index.m3u8</t>
  </si>
  <si>
    <t>pltv_3221228287</t>
  </si>
  <si>
    <t>http://ott.mobaibox.com/PLTV/4/224/3221228287/index.m3u8</t>
  </si>
  <si>
    <t>pltv_3221228290</t>
  </si>
  <si>
    <t>http://ott.mobaibox.com/PLTV/4/224/3221228290/index.m3u8</t>
  </si>
  <si>
    <t>pltv_3221228295</t>
  </si>
  <si>
    <t>http://ott.mobaibox.com/PLTV/4/224/3221228295/index.m3u8</t>
  </si>
  <si>
    <t>pltv_3221228300</t>
  </si>
  <si>
    <t>http://ott.mobaibox.com/PLTV/4/224/3221228300/index.m3u8</t>
  </si>
  <si>
    <t>pltv_3221228306</t>
  </si>
  <si>
    <t>http://ott.mobaibox.com/PLTV/4/224/3221228306/index.m3u8</t>
  </si>
  <si>
    <t>pltv_3221228307</t>
  </si>
  <si>
    <t>http://ott.mobaibox.com/PLTV/4/224/3221228307/index.m3u8</t>
  </si>
  <si>
    <t>pltv_3221228309</t>
  </si>
  <si>
    <t>http://ott.mobaibox.com/PLTV/4/224/3221228309/index.m3u8</t>
  </si>
  <si>
    <t>pltv_3221228310</t>
  </si>
  <si>
    <t>http://ott.mobaibox.com/PLTV/4/224/3221228310/index.m3u8</t>
  </si>
  <si>
    <t>pltv_3221228312</t>
  </si>
  <si>
    <t>http://ott.mobaibox.com/PLTV/4/224/3221228312/index.m3u8</t>
  </si>
  <si>
    <t>pltv_3221228314</t>
  </si>
  <si>
    <t>http://ott.mobaibox.com/PLTV/4/224/3221228314/index.m3u8</t>
  </si>
  <si>
    <t>pltv_3221228315</t>
  </si>
  <si>
    <t>http://ott.mobaibox.com/PLTV/4/224/3221228315/index.m3u8</t>
  </si>
  <si>
    <t>pltv_3221228317</t>
  </si>
  <si>
    <t>http://ott.mobaibox.com/PLTV/4/224/3221228317/index.m3u8</t>
  </si>
  <si>
    <t>pltv_3221228320</t>
  </si>
  <si>
    <t>http://ott.mobaibox.com/PLTV/4/224/3221228320/index.m3u8</t>
  </si>
  <si>
    <t>pltv_3221228323</t>
  </si>
  <si>
    <t>http://ott.mobaibox.com/PLTV/4/224/3221228323/index.m3u8</t>
  </si>
  <si>
    <t>pltv_3221228324</t>
  </si>
  <si>
    <t>http://ott.mobaibox.com/PLTV/4/224/3221228324/index.m3u8</t>
  </si>
  <si>
    <t>pltv_3221228326</t>
  </si>
  <si>
    <t>http://ott.mobaibox.com/PLTV/4/224/3221228326/index.m3u8</t>
  </si>
  <si>
    <t>pltv_3221228327</t>
  </si>
  <si>
    <t>http://ott.mobaibox.com/PLTV/4/224/3221228327/index.m3u8</t>
  </si>
  <si>
    <t>pltv_3221228392</t>
  </si>
  <si>
    <t>http://ott.mobaibox.com/PLTV/4/224/3221228392/index.m3u8</t>
  </si>
  <si>
    <t>pltv_3221228395</t>
  </si>
  <si>
    <t>http://ott.mobaibox.com/PLTV/4/224/3221228395/index.m3u8</t>
  </si>
  <si>
    <t>pltv_3221228398</t>
  </si>
  <si>
    <t>http://ott.mobaibox.com/PLTV/4/224/3221228398/index.m3u8</t>
  </si>
  <si>
    <t>pltv_3221228410</t>
  </si>
  <si>
    <t>http://ott.mobaibox.com/PLTV/4/224/3221228410/index.m3u8</t>
  </si>
  <si>
    <t>pltv_3221228413</t>
  </si>
  <si>
    <t>http://ott.mobaibox.com/PLTV/4/224/3221228413/index.m3u8</t>
  </si>
  <si>
    <t>pltv_3221228416</t>
  </si>
  <si>
    <t>http://ott.mobaibox.com/PLTV/4/224/3221228416/index.m3u8</t>
  </si>
  <si>
    <t>pltv_3221228425</t>
  </si>
  <si>
    <t>http://ott.mobaibox.com/PLTV/4/224/3221228425/index.m3u8</t>
  </si>
  <si>
    <t>pltv_3221228427</t>
  </si>
  <si>
    <t>http://ott.mobaibox.com/PLTV/4/224/3221228427/index.m3u8</t>
  </si>
  <si>
    <t>pltv_3221228430</t>
  </si>
  <si>
    <t>http://ott.mobaibox.com/PLTV/4/224/3221228430/index.m3u8</t>
  </si>
  <si>
    <t>pltv_3221228433</t>
  </si>
  <si>
    <t>http://ott.mobaibox.com/PLTV/4/224/3221228433/index.m3u8</t>
  </si>
  <si>
    <t>pltv_3221228435</t>
  </si>
  <si>
    <t>http://ott.mobaibox.com/PLTV/4/224/3221228435/index.m3u8</t>
  </si>
  <si>
    <t>pltv_3221228436</t>
  </si>
  <si>
    <t>http://ott.mobaibox.com/PLTV/4/224/3221228436/index.m3u8</t>
  </si>
  <si>
    <t>pltv_3221228441</t>
  </si>
  <si>
    <t>http://ott.mobaibox.com/PLTV/4/224/3221228441/index.m3u8</t>
  </si>
  <si>
    <t>pltv_3221228444</t>
  </si>
  <si>
    <t>http://ott.mobaibox.com/PLTV/4/224/3221228444/index.m3u8</t>
  </si>
  <si>
    <t>pltv_3221228448</t>
  </si>
  <si>
    <t>http://ott.mobaibox.com/PLTV/4/224/3221228448/index.m3u8</t>
  </si>
  <si>
    <t>pltv_3221228451</t>
  </si>
  <si>
    <t>http://ott.mobaibox.com/PLTV/4/224/3221228451/index.m3u8</t>
  </si>
  <si>
    <t>pltv_3221228454</t>
  </si>
  <si>
    <t>http://ott.mobaibox.com/PLTV/4/224/3221228454/index.m3u8</t>
  </si>
  <si>
    <t>pltv_3221228456</t>
  </si>
  <si>
    <t>http://ott.mobaibox.com/PLTV/4/224/3221228456/index.m3u8</t>
  </si>
  <si>
    <t>pltv_3221228460</t>
  </si>
  <si>
    <t>http://ott.mobaibox.com/PLTV/4/224/3221228460/index.m3u8</t>
  </si>
  <si>
    <t>pltv_3221228462</t>
  </si>
  <si>
    <t>http://ott.mobaibox.com/PLTV/4/224/3221228462/index.m3u8</t>
  </si>
  <si>
    <t>pltv_3221228463</t>
  </si>
  <si>
    <t>http://ott.mobaibox.com/PLTV/4/224/3221228463/index.m3u8</t>
  </si>
  <si>
    <t>pltv_3221228465</t>
  </si>
  <si>
    <t>http://ott.mobaibox.com/PLTV/4/224/3221228465/index.m3u8</t>
  </si>
  <si>
    <t>pltv_3221228472</t>
  </si>
  <si>
    <t>http://ott.mobaibox.com/PLTV/4/224/3221228472/index.m3u8</t>
  </si>
  <si>
    <t>pltv_3221228492</t>
  </si>
  <si>
    <t>http://ott.mobaibox.com/PLTV/4/224/3221228492/index.m3u8</t>
  </si>
  <si>
    <t>pltv_3221228499</t>
  </si>
  <si>
    <t>http://ott.mobaibox.com/PLTV/4/224/3221228499/index.m3u8</t>
  </si>
  <si>
    <t>pltv_3221228502</t>
  </si>
  <si>
    <t>http://ott.mobaibox.com/PLTV/4/224/3221228502/index.m3u8</t>
  </si>
  <si>
    <t>pltv_3221228504</t>
  </si>
  <si>
    <t>http://ott.mobaibox.com/PLTV/4/224/3221228504/index.m3u8</t>
  </si>
  <si>
    <t>pltv_3221228505</t>
  </si>
  <si>
    <t>http://ott.mobaibox.com/PLTV/4/224/3221228505/index.m3u8</t>
  </si>
  <si>
    <t>pltv_3221228508</t>
  </si>
  <si>
    <t>http://ott.mobaibox.com/PLTV/4/224/3221228508/index.m3u8</t>
  </si>
  <si>
    <t>pltv_3221228511</t>
  </si>
  <si>
    <t>http://ott.mobaibox.com/PLTV/4/224/3221228511/index.m3u8</t>
  </si>
  <si>
    <t>pltv_3221228513</t>
  </si>
  <si>
    <t>http://ott.mobaibox.com/PLTV/4/224/3221228513/index.m3u8</t>
  </si>
  <si>
    <t>pltv_3221228514</t>
  </si>
  <si>
    <t>http://ott.mobaibox.com/PLTV/4/224/3221228514/index.m3u8</t>
  </si>
  <si>
    <t>pltv_3221228516</t>
  </si>
  <si>
    <t>http://ott.mobaibox.com/PLTV/4/224/3221228516/index.m3u8</t>
  </si>
  <si>
    <t>pltv_3221228517</t>
  </si>
  <si>
    <t>http://ott.mobaibox.com/PLTV/4/224/3221228517/index.m3u8</t>
  </si>
  <si>
    <t>pltv_3221228519</t>
  </si>
  <si>
    <t>http://ott.mobaibox.com/PLTV/4/224/3221228519/index.m3u8</t>
  </si>
  <si>
    <t>pltv_3221228520</t>
  </si>
  <si>
    <t>http://ott.mobaibox.com/PLTV/4/224/3221228520/index.m3u8</t>
  </si>
  <si>
    <t>pltv_3221228522</t>
  </si>
  <si>
    <t>http://ott.mobaibox.com/PLTV/4/224/3221228522/index.m3u8</t>
  </si>
  <si>
    <t>pltv_3221228523</t>
  </si>
  <si>
    <t>http://ott.mobaibox.com/PLTV/4/224/3221228523/index.m3u8</t>
  </si>
  <si>
    <t>pltv_3221228524</t>
  </si>
  <si>
    <t>http://ott.mobaibox.com/PLTV/4/224/3221228524/index.m3u8</t>
  </si>
  <si>
    <t>pltv_3221228525</t>
  </si>
  <si>
    <t>http://ott.mobaibox.com/PLTV/4/224/3221228525/index.m3u8</t>
  </si>
  <si>
    <t>pltv_3221228526</t>
  </si>
  <si>
    <t>http://ott.mobaibox.com/PLTV/4/224/3221228526/index.m3u8</t>
  </si>
  <si>
    <t>pltv_3221228527</t>
  </si>
  <si>
    <t>http://ott.mobaibox.com/PLTV/4/224/3221228527/index.m3u8</t>
  </si>
  <si>
    <t>pltv_3221228528</t>
  </si>
  <si>
    <t>http://ott.mobaibox.com/PLTV/4/224/3221228528/index.m3u8</t>
  </si>
  <si>
    <t>pltv_3221228529</t>
  </si>
  <si>
    <t>http://ott.mobaibox.com/PLTV/4/224/3221228529/index.m3u8</t>
  </si>
  <si>
    <t>pltv_3221228530</t>
  </si>
  <si>
    <t>http://ott.mobaibox.com/PLTV/4/224/3221228530/index.m3u8</t>
  </si>
  <si>
    <t>pltv_3221228532</t>
  </si>
  <si>
    <t>http://ott.mobaibox.com/PLTV/4/224/3221228532/index.m3u8</t>
  </si>
  <si>
    <t>pltv_3221228531</t>
  </si>
  <si>
    <t>http://ott.mobaibox.com/PLTV/4/224/3221228531/index.m3u8</t>
  </si>
  <si>
    <t>pltv_3221228534</t>
  </si>
  <si>
    <t>http://ott.mobaibox.com/PLTV/4/224/3221228534/index.m3u8</t>
  </si>
  <si>
    <t>pltv_3221228536</t>
  </si>
  <si>
    <t>http://ott.mobaibox.com/PLTV/4/224/3221228536/index.m3u8</t>
  </si>
  <si>
    <t>pltv_3221228535</t>
  </si>
  <si>
    <t>http://ott.mobaibox.com/PLTV/4/224/3221228535/index.m3u8</t>
  </si>
  <si>
    <t>pltv_3221228539</t>
  </si>
  <si>
    <t>http://ott.mobaibox.com/PLTV/4/224/3221228539/index.m3u8</t>
  </si>
  <si>
    <t>pltv_3221228537</t>
  </si>
  <si>
    <t>http://ott.mobaibox.com/PLTV/4/224/3221228537/index.m3u8</t>
  </si>
  <si>
    <t>pltv_3221228540</t>
  </si>
  <si>
    <t>http://ott.mobaibox.com/PLTV/4/224/3221228540/index.m3u8</t>
  </si>
  <si>
    <t>pltv_3221228541</t>
  </si>
  <si>
    <t>http://ott.mobaibox.com/PLTV/4/224/3221228541/index.m3u8</t>
  </si>
  <si>
    <t>pltv_3221228543</t>
  </si>
  <si>
    <t>http://ott.mobaibox.com/PLTV/4/224/3221228543/index.m3u8</t>
  </si>
  <si>
    <t>pltv_3221228544</t>
  </si>
  <si>
    <t>http://ott.mobaibox.com/PLTV/4/224/3221228544/index.m3u8</t>
  </si>
  <si>
    <t>pltv_3221228546</t>
  </si>
  <si>
    <t>http://ott.mobaibox.com/PLTV/4/224/3221228546/index.m3u8</t>
  </si>
  <si>
    <t>pltv_3221228547</t>
  </si>
  <si>
    <t>http://ott.mobaibox.com/PLTV/4/224/3221228547/index.m3u8</t>
  </si>
  <si>
    <t>pltv_3221228549</t>
  </si>
  <si>
    <t>http://ott.mobaibox.com/PLTV/4/224/3221228549/index.m3u8</t>
  </si>
  <si>
    <t>pltv_3221228551</t>
  </si>
  <si>
    <t>http://ott.mobaibox.com/PLTV/4/224/3221228551/index.m3u8</t>
  </si>
  <si>
    <t>pltv_3221228552</t>
  </si>
  <si>
    <t>http://ott.mobaibox.com/PLTV/4/224/3221228552/index.m3u8</t>
  </si>
  <si>
    <t>pltv_3221228555</t>
  </si>
  <si>
    <t>http://ott.mobaibox.com/PLTV/4/224/3221228555/index.m3u8</t>
  </si>
  <si>
    <t>pltv_3221228558</t>
  </si>
  <si>
    <t>http://ott.mobaibox.com/PLTV/4/224/3221228558/index.m3u8</t>
  </si>
  <si>
    <t>pltv_3221228560</t>
  </si>
  <si>
    <t>http://ott.mobaibox.com/PLTV/4/224/3221228560/index.m3u8</t>
  </si>
  <si>
    <t>pltv_3221228562</t>
  </si>
  <si>
    <t>http://ott.mobaibox.com/PLTV/4/224/3221228562/index.m3u8</t>
  </si>
  <si>
    <t>pltv_3221228561</t>
  </si>
  <si>
    <t>http://ott.mobaibox.com/PLTV/4/224/3221228561/index.m3u8</t>
  </si>
  <si>
    <t>pltv_3221228566</t>
  </si>
  <si>
    <t>http://ott.mobaibox.com/PLTV/4/224/3221228566/index.m3u8</t>
  </si>
  <si>
    <t>pltv_3221228564</t>
  </si>
  <si>
    <t>http://ott.mobaibox.com/PLTV/4/224/3221228564/index.m3u8</t>
  </si>
  <si>
    <t>pltv_3221228567</t>
  </si>
  <si>
    <t>http://ott.mobaibox.com/PLTV/4/224/3221228567/index.m3u8</t>
  </si>
  <si>
    <t>pltv_3221228569</t>
  </si>
  <si>
    <t>http://ott.mobaibox.com/PLTV/4/224/3221228569/index.m3u8</t>
  </si>
  <si>
    <t>pltv_3221228570</t>
  </si>
  <si>
    <t>http://ott.mobaibox.com/PLTV/4/224/3221228570/index.m3u8</t>
  </si>
  <si>
    <t>pltv_3221228576</t>
  </si>
  <si>
    <t>http://ott.mobaibox.com/PLTV/4/224/3221228576/index.m3u8</t>
  </si>
  <si>
    <t>pltv_3221228578</t>
  </si>
  <si>
    <t>http://ott.mobaibox.com/PLTV/4/224/3221228578/index.m3u8</t>
  </si>
  <si>
    <t>pltv_3221228579</t>
  </si>
  <si>
    <t>http://ott.mobaibox.com/PLTV/4/224/3221228579/index.m3u8</t>
  </si>
  <si>
    <t>pltv_3221228581</t>
  </si>
  <si>
    <t>http://ott.mobaibox.com/PLTV/4/224/3221228581/index.m3u8</t>
  </si>
  <si>
    <t>pltv_3221228582</t>
  </si>
  <si>
    <t>http://ott.mobaibox.com/PLTV/4/224/3221228582/index.m3u8</t>
  </si>
  <si>
    <t>pltv_3221228586</t>
  </si>
  <si>
    <t>http://ott.mobaibox.com/PLTV/4/224/3221228586/index.m3u8</t>
  </si>
  <si>
    <t>pltv_3221228587</t>
  </si>
  <si>
    <t>http://ott.mobaibox.com/PLTV/4/224/3221228587/index.m3u8</t>
  </si>
  <si>
    <t>pltv_3221228589</t>
  </si>
  <si>
    <t>http://ott.mobaibox.com/PLTV/4/224/3221228589/index.m3u8</t>
  </si>
  <si>
    <t>pltv_3221228591</t>
  </si>
  <si>
    <t>http://ott.mobaibox.com/PLTV/4/224/3221228591/index.m3u8</t>
  </si>
  <si>
    <t>pltv_3221228590</t>
  </si>
  <si>
    <t>http://ott.mobaibox.com/PLTV/4/224/3221228590/index.m3u8</t>
  </si>
  <si>
    <t>pltv_3221228592</t>
  </si>
  <si>
    <t>http://ott.mobaibox.com/PLTV/4/224/3221228592/index.m3u8</t>
  </si>
  <si>
    <t>pltv_3221228593</t>
  </si>
  <si>
    <t>http://ott.mobaibox.com/PLTV/4/224/3221228593/index.m3u8</t>
  </si>
  <si>
    <t>pltv_3221228596</t>
  </si>
  <si>
    <t>http://ott.mobaibox.com/PLTV/4/224/3221228596/index.m3u8</t>
  </si>
  <si>
    <t>pltv_3221228595</t>
  </si>
  <si>
    <t>http://ott.mobaibox.com/PLTV/4/224/3221228595/index.m3u8</t>
  </si>
  <si>
    <t>pltv_3221228598</t>
  </si>
  <si>
    <t>http://ott.mobaibox.com/PLTV/4/224/3221228598/index.m3u8</t>
  </si>
  <si>
    <t>pltv_3221228599</t>
  </si>
  <si>
    <t>http://ott.mobaibox.com/PLTV/4/224/3221228599/index.m3u8</t>
  </si>
  <si>
    <t>pltv_3221228604</t>
  </si>
  <si>
    <t>http://ott.mobaibox.com/PLTV/4/224/3221228604/index.m3u8</t>
  </si>
  <si>
    <t>pltv_3221228603</t>
  </si>
  <si>
    <t>http://ott.mobaibox.com/PLTV/4/224/3221228603/index.m3u8</t>
  </si>
  <si>
    <t>pltv_3221228602</t>
  </si>
  <si>
    <t>http://ott.mobaibox.com/PLTV/4/224/3221228602/index.m3u8</t>
  </si>
  <si>
    <t>pltv_3221228605</t>
  </si>
  <si>
    <t>http://ott.mobaibox.com/PLTV/4/224/3221228605/index.m3u8</t>
  </si>
  <si>
    <t>pltv_3221228607</t>
  </si>
  <si>
    <t>http://ott.mobaibox.com/PLTV/4/224/3221228607/index.m3u8</t>
  </si>
  <si>
    <t>pltv_3221228609</t>
  </si>
  <si>
    <t>http://ott.mobaibox.com/PLTV/4/224/3221228609/index.m3u8</t>
  </si>
  <si>
    <t>pltv_3221228608</t>
  </si>
  <si>
    <t>http://ott.mobaibox.com/PLTV/4/224/3221228608/index.m3u8</t>
  </si>
  <si>
    <t>pltv_3221228610</t>
  </si>
  <si>
    <t>http://ott.mobaibox.com/PLTV/4/224/3221228610/index.m3u8</t>
  </si>
  <si>
    <t>pltv_3221228611</t>
  </si>
  <si>
    <t>http://ott.mobaibox.com/PLTV/4/224/3221228611/index.m3u8</t>
  </si>
  <si>
    <t>pltv_3221228612</t>
  </si>
  <si>
    <t>http://ott.mobaibox.com/PLTV/4/224/3221228612/index.m3u8</t>
  </si>
  <si>
    <t>pltv_3221228614</t>
  </si>
  <si>
    <t>http://ott.mobaibox.com/PLTV/4/224/3221228614/index.m3u8</t>
  </si>
  <si>
    <t>pltv_3221228613</t>
  </si>
  <si>
    <t>http://ott.mobaibox.com/PLTV/4/224/3221228613/index.m3u8</t>
  </si>
  <si>
    <t>pltv_3221228615</t>
  </si>
  <si>
    <t>http://ott.mobaibox.com/PLTV/4/224/3221228615/index.m3u8</t>
  </si>
  <si>
    <t>pltv_3221228616</t>
  </si>
  <si>
    <t>http://ott.mobaibox.com/PLTV/4/224/3221228616/index.m3u8</t>
  </si>
  <si>
    <t>pltv_3221228617</t>
  </si>
  <si>
    <t>http://ott.mobaibox.com/PLTV/4/224/3221228617/index.m3u8</t>
  </si>
  <si>
    <t>pltv_3221228618</t>
  </si>
  <si>
    <t>http://ott.mobaibox.com/PLTV/4/224/3221228618/index.m3u8</t>
  </si>
  <si>
    <t>pltv_3221228619</t>
  </si>
  <si>
    <t>http://ott.mobaibox.com/PLTV/4/224/3221228619/index.m3u8</t>
  </si>
  <si>
    <t>pltv_3221228620</t>
  </si>
  <si>
    <t>http://ott.mobaibox.com/PLTV/4/224/3221228620/index.m3u8</t>
  </si>
  <si>
    <t>pltv_3221228621</t>
  </si>
  <si>
    <t>http://ott.mobaibox.com/PLTV/4/224/3221228621/index.m3u8</t>
  </si>
  <si>
    <t>pltv_3221228624</t>
  </si>
  <si>
    <t>http://ott.mobaibox.com/PLTV/4/224/3221228624/index.m3u8</t>
  </si>
  <si>
    <t>pltv_3221228622</t>
  </si>
  <si>
    <t>http://ott.mobaibox.com/PLTV/4/224/3221228622/index.m3u8</t>
  </si>
  <si>
    <t>pltv_3221228623</t>
  </si>
  <si>
    <t>http://ott.mobaibox.com/PLTV/4/224/3221228623/index.m3u8</t>
  </si>
  <si>
    <t>pltv_3221228625</t>
  </si>
  <si>
    <t>http://ott.mobaibox.com/PLTV/4/224/3221228625/index.m3u8</t>
  </si>
  <si>
    <t>pltv_3221228626</t>
  </si>
  <si>
    <t>http://ott.mobaibox.com/PLTV/4/224/3221228626/index.m3u8</t>
  </si>
  <si>
    <t>pltv_3221228627</t>
  </si>
  <si>
    <t>http://ott.mobaibox.com/PLTV/4/224/3221228627/index.m3u8</t>
  </si>
  <si>
    <t>pltv_3221228628</t>
  </si>
  <si>
    <t>http://ott.mobaibox.com/PLTV/4/224/3221228628/index.m3u8</t>
  </si>
  <si>
    <t>pltv_3221228630</t>
  </si>
  <si>
    <t>http://ott.mobaibox.com/PLTV/4/224/3221228630/index.m3u8</t>
  </si>
  <si>
    <t>pltv_3221228631</t>
  </si>
  <si>
    <t>http://ott.mobaibox.com/PLTV/4/224/3221228631/index.m3u8</t>
  </si>
  <si>
    <t>pltv_3221228633</t>
  </si>
  <si>
    <t>http://ott.mobaibox.com/PLTV/4/224/3221228633/index.m3u8</t>
  </si>
  <si>
    <t>pltv_3221228634</t>
  </si>
  <si>
    <t>http://ott.mobaibox.com/PLTV/4/224/3221228634/index.m3u8</t>
  </si>
  <si>
    <t>pltv_3221228636</t>
  </si>
  <si>
    <t>http://ott.mobaibox.com/PLTV/4/224/3221228636/index.m3u8</t>
  </si>
  <si>
    <t>pltv_3221228637</t>
  </si>
  <si>
    <t>http://ott.mobaibox.com/PLTV/4/224/3221228637/index.m3u8</t>
  </si>
  <si>
    <t>pltv_3221228639</t>
  </si>
  <si>
    <t>http://ott.mobaibox.com/PLTV/4/224/3221228639/index.m3u8</t>
  </si>
  <si>
    <t>pltv_3221228640</t>
  </si>
  <si>
    <t>http://ott.mobaibox.com/PLTV/4/224/3221228640/index.m3u8</t>
  </si>
  <si>
    <t>pltv_3221228641</t>
  </si>
  <si>
    <t>http://ott.mobaibox.com/PLTV/4/224/3221228641/index.m3u8</t>
  </si>
  <si>
    <t>pltv_3221228642</t>
  </si>
  <si>
    <t>http://ott.mobaibox.com/PLTV/4/224/3221228642/index.m3u8</t>
  </si>
  <si>
    <t>pltv_3221228643</t>
  </si>
  <si>
    <t>http://ott.mobaibox.com/PLTV/4/224/3221228643/index.m3u8</t>
  </si>
  <si>
    <t>pltv_3221228644</t>
  </si>
  <si>
    <t>http://ott.mobaibox.com/PLTV/4/224/3221228644/index.m3u8</t>
  </si>
  <si>
    <t>pltv_3221228645</t>
  </si>
  <si>
    <t>http://ott.mobaibox.com/PLTV/4/224/3221228645/index.m3u8</t>
  </si>
  <si>
    <t>pltv_3221228646</t>
  </si>
  <si>
    <t>http://ott.mobaibox.com/PLTV/4/224/3221228646/index.m3u8</t>
  </si>
  <si>
    <t>pltv_3221228648</t>
  </si>
  <si>
    <t>http://ott.mobaibox.com/PLTV/4/224/3221228648/index.m3u8</t>
  </si>
  <si>
    <t>pltv_3221228649</t>
  </si>
  <si>
    <t>http://ott.mobaibox.com/PLTV/4/224/3221228649/index.m3u8</t>
  </si>
  <si>
    <t>pltv_3221228651</t>
  </si>
  <si>
    <t>http://ott.mobaibox.com/PLTV/4/224/3221228651/index.m3u8</t>
  </si>
  <si>
    <t>pltv_3221228652</t>
  </si>
  <si>
    <t>http://ott.mobaibox.com/PLTV/4/224/3221228652/index.m3u8</t>
  </si>
  <si>
    <t>pltv_3221228653</t>
  </si>
  <si>
    <t>http://ott.mobaibox.com/PLTV/4/224/3221228653/index.m3u8</t>
  </si>
  <si>
    <t>pltv_3221228654</t>
  </si>
  <si>
    <t>http://ott.mobaibox.com/PLTV/4/224/3221228654/index.m3u8</t>
  </si>
  <si>
    <t>pltv_3221228655</t>
  </si>
  <si>
    <t>http://ott.mobaibox.com/PLTV/4/224/3221228655/index.m3u8</t>
  </si>
  <si>
    <t>pltv_3221228656</t>
  </si>
  <si>
    <t>http://ott.mobaibox.com/PLTV/4/224/3221228656/index.m3u8</t>
  </si>
  <si>
    <t>pltv_3221228657</t>
  </si>
  <si>
    <t>http://ott.mobaibox.com/PLTV/4/224/3221228657/index.m3u8</t>
  </si>
  <si>
    <t>pltv_3221228659</t>
  </si>
  <si>
    <t>http://ott.mobaibox.com/PLTV/4/224/3221228659/index.m3u8</t>
  </si>
  <si>
    <t>pltv_3221228660</t>
  </si>
  <si>
    <t>http://ott.mobaibox.com/PLTV/4/224/3221228660/index.m3u8</t>
  </si>
  <si>
    <t>pltv_3221228661</t>
  </si>
  <si>
    <t>http://ott.mobaibox.com/PLTV/4/224/3221228661/index.m3u8</t>
  </si>
  <si>
    <t>pltv_3221228663</t>
  </si>
  <si>
    <t>http://ott.mobaibox.com/PLTV/4/224/3221228663/index.m3u8</t>
  </si>
  <si>
    <t>pltv_3221228662</t>
  </si>
  <si>
    <t>http://ott.mobaibox.com/PLTV/4/224/3221228662/index.m3u8</t>
  </si>
  <si>
    <t>pltv_3221228665</t>
  </si>
  <si>
    <t>http://ott.mobaibox.com/PLTV/4/224/3221228665/index.m3u8</t>
  </si>
  <si>
    <t>pltv_3221228664</t>
  </si>
  <si>
    <t>http://ott.mobaibox.com/PLTV/4/224/3221228664/index.m3u8</t>
  </si>
  <si>
    <t>pltv_3221228668</t>
  </si>
  <si>
    <t>http://ott.mobaibox.com/PLTV/4/224/3221228668/index.m3u8</t>
  </si>
  <si>
    <t>pltv_3221228666</t>
  </si>
  <si>
    <t>http://ott.mobaibox.com/PLTV/4/224/3221228666/index.m3u8</t>
  </si>
  <si>
    <t>pltv_3221228669</t>
  </si>
  <si>
    <t>http://ott.mobaibox.com/PLTV/4/224/3221228669/index.m3u8</t>
  </si>
  <si>
    <t>pltv_3221228671</t>
  </si>
  <si>
    <t>http://ott.mobaibox.com/PLTV/4/224/3221228671/index.m3u8</t>
  </si>
  <si>
    <t>pltv_3221228673</t>
  </si>
  <si>
    <t>http://ott.mobaibox.com/PLTV/4/224/3221228673/index.m3u8</t>
  </si>
  <si>
    <t>pltv_3221228674</t>
  </si>
  <si>
    <t>http://ott.mobaibox.com/PLTV/4/224/3221228674/index.m3u8</t>
  </si>
  <si>
    <t>pltv_3221228676</t>
  </si>
  <si>
    <t>http://ott.mobaibox.com/PLTV/4/224/3221228676/index.m3u8</t>
  </si>
  <si>
    <t>pltv_3221228677</t>
  </si>
  <si>
    <t>http://ott.mobaibox.com/PLTV/4/224/3221228677/index.m3u8</t>
  </si>
  <si>
    <t>pltv_3221228678</t>
  </si>
  <si>
    <t>http://ott.mobaibox.com/PLTV/4/224/3221228678/index.m3u8</t>
  </si>
  <si>
    <t>pltv_3221228679</t>
  </si>
  <si>
    <t>http://ott.mobaibox.com/PLTV/4/224/3221228679/index.m3u8</t>
  </si>
  <si>
    <t>pltv_3221228680</t>
  </si>
  <si>
    <t>http://ott.mobaibox.com/PLTV/4/224/3221228680/index.m3u8</t>
  </si>
  <si>
    <t>pltv_3221228682</t>
  </si>
  <si>
    <t>http://ott.mobaibox.com/PLTV/4/224/3221228682/index.m3u8</t>
  </si>
  <si>
    <t>pltv_3221228683</t>
  </si>
  <si>
    <t>http://ott.mobaibox.com/PLTV/4/224/3221228683/index.m3u8</t>
  </si>
  <si>
    <t>pltv_3221228685</t>
  </si>
  <si>
    <t>http://ott.mobaibox.com/PLTV/4/224/3221228685/index.m3u8</t>
  </si>
  <si>
    <t>pltv_3221228686</t>
  </si>
  <si>
    <t>http://ott.mobaibox.com/PLTV/4/224/3221228686/index.m3u8</t>
  </si>
  <si>
    <t>pltv_3221228689</t>
  </si>
  <si>
    <t>http://ott.mobaibox.com/PLTV/4/224/3221228689/index.m3u8</t>
  </si>
  <si>
    <t>pltv_3221228687</t>
  </si>
  <si>
    <t>http://ott.mobaibox.com/PLTV/4/224/3221228687/index.m3u8</t>
  </si>
  <si>
    <t>1916x1080</t>
  </si>
  <si>
    <t>pltv_3221228690</t>
  </si>
  <si>
    <t>http://ott.mobaibox.com/PLTV/4/224/3221228690/index.m3u8</t>
  </si>
  <si>
    <t>pltv_3221228693</t>
  </si>
  <si>
    <t>http://ott.mobaibox.com/PLTV/4/224/3221228693/index.m3u8</t>
  </si>
  <si>
    <t>pltv_3221228692</t>
  </si>
  <si>
    <t>http://ott.mobaibox.com/PLTV/4/224/3221228692/index.m3u8</t>
  </si>
  <si>
    <t>pltv_3221228697</t>
  </si>
  <si>
    <t>http://ott.mobaibox.com/PLTV/4/224/3221228697/index.m3u8</t>
  </si>
  <si>
    <t>pltv_3221228699</t>
  </si>
  <si>
    <t>http://ott.mobaibox.com/PLTV/4/224/3221228699/index.m3u8</t>
  </si>
  <si>
    <t>pltv_3221228700</t>
  </si>
  <si>
    <t>http://ott.mobaibox.com/PLTV/4/224/3221228700/index.m3u8</t>
  </si>
  <si>
    <t>pltv_3221228705</t>
  </si>
  <si>
    <t>http://ott.mobaibox.com/PLTV/4/224/3221228705/index.m3u8</t>
  </si>
  <si>
    <t>pltv_3221228702</t>
  </si>
  <si>
    <t>http://ott.mobaibox.com/PLTV/4/224/3221228702/index.m3u8</t>
  </si>
  <si>
    <t>pltv_3221228708</t>
  </si>
  <si>
    <t>http://ott.mobaibox.com/PLTV/4/224/3221228708/index.m3u8</t>
  </si>
  <si>
    <t>pltv_3221228709</t>
  </si>
  <si>
    <t>http://ott.mobaibox.com/PLTV/4/224/3221228709/index.m3u8</t>
  </si>
  <si>
    <t>pltv_3221228710</t>
  </si>
  <si>
    <t>http://ott.mobaibox.com/PLTV/4/224/3221228710/index.m3u8</t>
  </si>
  <si>
    <t>pltv_3221228711</t>
  </si>
  <si>
    <t>http://ott.mobaibox.com/PLTV/4/224/3221228711/index.m3u8</t>
  </si>
  <si>
    <t>pltv_3221228714</t>
  </si>
  <si>
    <t>http://ott.mobaibox.com/PLTV/4/224/3221228714/index.m3u8</t>
  </si>
  <si>
    <t>pltv_3221228713</t>
  </si>
  <si>
    <t>http://ott.mobaibox.com/PLTV/4/224/3221228713/index.m3u8</t>
  </si>
  <si>
    <t>pltv_3221228716</t>
  </si>
  <si>
    <t>http://ott.mobaibox.com/PLTV/4/224/3221228716/index.m3u8</t>
  </si>
  <si>
    <t>pltv_3221228717</t>
  </si>
  <si>
    <t>http://ott.mobaibox.com/PLTV/4/224/3221228717/index.m3u8</t>
  </si>
  <si>
    <t>pltv_3221228720</t>
  </si>
  <si>
    <t>http://ott.mobaibox.com/PLTV/4/224/3221228720/index.m3u8</t>
  </si>
  <si>
    <t>pltv_3221228719</t>
  </si>
  <si>
    <t>http://ott.mobaibox.com/PLTV/4/224/3221228719/index.m3u8</t>
  </si>
  <si>
    <t>pltv_3221228725</t>
  </si>
  <si>
    <t>http://ott.mobaibox.com/PLTV/4/224/3221228725/index.m3u8</t>
  </si>
  <si>
    <t>pltv_3221228724</t>
  </si>
  <si>
    <t>http://ott.mobaibox.com/PLTV/4/224/3221228724/index.m3u8</t>
  </si>
  <si>
    <t>pltv_3221228723</t>
  </si>
  <si>
    <t>http://ott.mobaibox.com/PLTV/4/224/3221228723/index.m3u8</t>
  </si>
  <si>
    <t>pltv_3221228726</t>
  </si>
  <si>
    <t>http://ott.mobaibox.com/PLTV/4/224/3221228726/index.m3u8</t>
  </si>
  <si>
    <t>pltv_3221228729</t>
  </si>
  <si>
    <t>http://ott.mobaibox.com/PLTV/4/224/3221228729/index.m3u8</t>
  </si>
  <si>
    <t>pltv_3221228728</t>
  </si>
  <si>
    <t>http://ott.mobaibox.com/PLTV/4/224/3221228728/index.m3u8</t>
  </si>
  <si>
    <t>pltv_3221228731</t>
  </si>
  <si>
    <t>http://ott.mobaibox.com/PLTV/4/224/3221228731/index.m3u8</t>
  </si>
  <si>
    <t>pltv_3221228732</t>
  </si>
  <si>
    <t>http://ott.mobaibox.com/PLTV/4/224/3221228732/index.m3u8</t>
  </si>
  <si>
    <t>pltv_3221228734</t>
  </si>
  <si>
    <t>http://ott.mobaibox.com/PLTV/4/224/3221228734/index.m3u8</t>
  </si>
  <si>
    <t>pltv_3221228735</t>
  </si>
  <si>
    <t>http://ott.mobaibox.com/PLTV/4/224/3221228735/index.m3u8</t>
  </si>
  <si>
    <t>pltv_3221228738</t>
  </si>
  <si>
    <t>http://ott.mobaibox.com/PLTV/4/224/3221228738/index.m3u8</t>
  </si>
  <si>
    <t>pltv_3221228737</t>
  </si>
  <si>
    <t>http://ott.mobaibox.com/PLTV/4/224/3221228737/index.m3u8</t>
  </si>
  <si>
    <t>pltv_3221228740</t>
  </si>
  <si>
    <t>http://ott.mobaibox.com/PLTV/4/224/3221228740/index.m3u8</t>
  </si>
  <si>
    <t>pltv_3221228741</t>
  </si>
  <si>
    <t>http://ott.mobaibox.com/PLTV/4/224/3221228741/index.m3u8</t>
  </si>
  <si>
    <t>pltv_3221228743</t>
  </si>
  <si>
    <t>http://ott.mobaibox.com/PLTV/4/224/3221228743/index.m3u8</t>
  </si>
  <si>
    <t>pltv_3221228744</t>
  </si>
  <si>
    <t>http://ott.mobaibox.com/PLTV/4/224/3221228744/index.m3u8</t>
  </si>
  <si>
    <t>pltv_3221228747</t>
  </si>
  <si>
    <t>http://ott.mobaibox.com/PLTV/4/224/3221228747/index.m3u8</t>
  </si>
  <si>
    <t>pltv_3221228746</t>
  </si>
  <si>
    <t>http://ott.mobaibox.com/PLTV/4/224/3221228746/index.m3u8</t>
  </si>
  <si>
    <t>pltv_3221228749</t>
  </si>
  <si>
    <t>http://ott.mobaibox.com/PLTV/4/224/3221228749/index.m3u8</t>
  </si>
  <si>
    <t>pltv_3221228750</t>
  </si>
  <si>
    <t>http://ott.mobaibox.com/PLTV/4/224/3221228750/index.m3u8</t>
  </si>
  <si>
    <t>pltv_3221228752</t>
  </si>
  <si>
    <t>http://ott.mobaibox.com/PLTV/4/224/3221228752/index.m3u8</t>
  </si>
  <si>
    <t>pltv_3221228755</t>
  </si>
  <si>
    <t>http://ott.mobaibox.com/PLTV/4/224/3221228755/index.m3u8</t>
  </si>
  <si>
    <t>pltv_3221228756</t>
  </si>
  <si>
    <t>http://ott.mobaibox.com/PLTV/4/224/3221228756/index.m3u8</t>
  </si>
  <si>
    <t>pltv_3221228758</t>
  </si>
  <si>
    <t>http://ott.mobaibox.com/PLTV/4/224/3221228758/index.m3u8</t>
  </si>
  <si>
    <t>pltv_3221228761</t>
  </si>
  <si>
    <t>http://ott.mobaibox.com/PLTV/4/224/3221228761/index.m3u8</t>
  </si>
  <si>
    <t>pltv_3221228764</t>
  </si>
  <si>
    <t>http://ott.mobaibox.com/PLTV/4/224/3221228764/index.m3u8</t>
  </si>
  <si>
    <t>pltv_3221228767</t>
  </si>
  <si>
    <t>http://ott.mobaibox.com/PLTV/4/224/3221228767/index.m3u8</t>
  </si>
  <si>
    <t>pltv_3221228770</t>
  </si>
  <si>
    <t>http://ott.mobaibox.com/PLTV/4/224/3221228770/index.m3u8</t>
  </si>
  <si>
    <t>pltv_3221228779</t>
  </si>
  <si>
    <t>http://ott.mobaibox.com/PLTV/4/224/3221228779/index.m3u8</t>
  </si>
  <si>
    <t>pltv_3221228782</t>
  </si>
  <si>
    <t>http://ott.mobaibox.com/PLTV/4/224/3221228782/index.m3u8</t>
  </si>
  <si>
    <t>pltv_3221228785</t>
  </si>
  <si>
    <t>http://ott.mobaibox.com/PLTV/4/224/3221228785/index.m3u8</t>
  </si>
  <si>
    <t>pltv_3221228788</t>
  </si>
  <si>
    <t>http://ott.mobaibox.com/PLTV/4/224/3221228788/index.m3u8</t>
  </si>
  <si>
    <t>pltv_3221228791</t>
  </si>
  <si>
    <t>http://ott.mobaibox.com/PLTV/4/224/3221228791/index.m3u8</t>
  </si>
  <si>
    <t>pltv_3221228794</t>
  </si>
  <si>
    <t>http://ott.mobaibox.com/PLTV/4/224/3221228794/index.m3u8</t>
  </si>
  <si>
    <t>pltv_3221228797</t>
  </si>
  <si>
    <t>http://ott.mobaibox.com/PLTV/4/224/3221228797/index.m3u8</t>
  </si>
  <si>
    <t>pltv_3221228803</t>
  </si>
  <si>
    <t>http://ott.mobaibox.com/PLTV/4/224/3221228803/index.m3u8</t>
  </si>
  <si>
    <t>pltv_3221228808</t>
  </si>
  <si>
    <t>http://ott.mobaibox.com/PLTV/4/224/3221228808/index.m3u8</t>
  </si>
  <si>
    <t>pltv_3221228809</t>
  </si>
  <si>
    <t>http://ott.mobaibox.com/PLTV/4/224/3221228809/index.m3u8</t>
  </si>
  <si>
    <t>pltv_3221228811</t>
  </si>
  <si>
    <t>http://ott.mobaibox.com/PLTV/4/224/3221228811/index.m3u8</t>
  </si>
  <si>
    <t>pltv_3221228812</t>
  </si>
  <si>
    <t>http://ott.mobaibox.com/PLTV/4/224/3221228812/index.m3u8</t>
  </si>
  <si>
    <t>pltv_3221228818</t>
  </si>
  <si>
    <t>http://ott.mobaibox.com/PLTV/4/224/3221228818/index.m3u8</t>
  </si>
  <si>
    <t>pltv_3221228815</t>
  </si>
  <si>
    <t>http://ott.mobaibox.com/PLTV/4/224/3221228815/index.m3u8</t>
  </si>
  <si>
    <t>pltv_3221228820</t>
  </si>
  <si>
    <t>http://ott.mobaibox.com/PLTV/4/224/3221228820/index.m3u8</t>
  </si>
  <si>
    <t>pltv_3221228817</t>
  </si>
  <si>
    <t>http://ott.mobaibox.com/PLTV/4/224/3221228817/index.m3u8</t>
  </si>
  <si>
    <t>pltv_3221228823</t>
  </si>
  <si>
    <t>http://ott.mobaibox.com/PLTV/4/224/3221228823/index.m3u8</t>
  </si>
  <si>
    <t>pltv_3221228826</t>
  </si>
  <si>
    <t>http://ott.mobaibox.com/PLTV/4/224/3221228826/index.m3u8</t>
  </si>
  <si>
    <t>pltv_3221228829</t>
  </si>
  <si>
    <t>http://ott.mobaibox.com/PLTV/4/224/3221228829/index.m3u8</t>
  </si>
  <si>
    <t>pltv_3221228834</t>
  </si>
  <si>
    <t>http://ott.mobaibox.com/PLTV/4/224/3221228834/index.m3u8</t>
  </si>
  <si>
    <t>pltv_3221228837</t>
  </si>
  <si>
    <t>http://ott.mobaibox.com/PLTV/4/224/3221228837/index.m3u8</t>
  </si>
  <si>
    <t>pltv_3221228835</t>
  </si>
  <si>
    <t>http://ott.mobaibox.com/PLTV/4/224/3221228835/index.m3u8</t>
  </si>
  <si>
    <t>pltv_3221228838</t>
  </si>
  <si>
    <t>http://ott.mobaibox.com/PLTV/4/224/3221228838/index.m3u8</t>
  </si>
  <si>
    <t>pltv_3221228840</t>
  </si>
  <si>
    <t>http://ott.mobaibox.com/PLTV/4/224/3221228840/index.m3u8</t>
  </si>
  <si>
    <t>pltv_3221228841</t>
  </si>
  <si>
    <t>http://ott.mobaibox.com/PLTV/4/224/3221228841/index.m3u8</t>
  </si>
  <si>
    <t>pltv_3221228844</t>
  </si>
  <si>
    <t>http://ott.mobaibox.com/PLTV/4/224/3221228844/index.m3u8</t>
  </si>
  <si>
    <t>pltv_3221228843</t>
  </si>
  <si>
    <t>http://ott.mobaibox.com/PLTV/4/224/3221228843/index.m3u8</t>
  </si>
  <si>
    <t>pltv_3221228847</t>
  </si>
  <si>
    <t>http://ott.mobaibox.com/PLTV/4/224/3221228847/index.m3u8</t>
  </si>
  <si>
    <t>pltv_3221228846</t>
  </si>
  <si>
    <t>http://ott.mobaibox.com/PLTV/4/224/3221228846/index.m3u8</t>
  </si>
  <si>
    <t>pltv_3221228849</t>
  </si>
  <si>
    <t>http://ott.mobaibox.com/PLTV/4/224/3221228849/index.m3u8</t>
  </si>
  <si>
    <t>pltv_3221228850</t>
  </si>
  <si>
    <t>http://ott.mobaibox.com/PLTV/4/224/3221228850/index.m3u8</t>
  </si>
  <si>
    <t>pltv_3221228853</t>
  </si>
  <si>
    <t>http://ott.mobaibox.com/PLTV/4/224/3221228853/index.m3u8</t>
  </si>
  <si>
    <t>pltv_3221228852</t>
  </si>
  <si>
    <t>http://ott.mobaibox.com/PLTV/4/224/3221228852/index.m3u8</t>
  </si>
  <si>
    <t>pltv_3221228855</t>
  </si>
  <si>
    <t>http://ott.mobaibox.com/PLTV/4/224/3221228855/index.m3u8</t>
  </si>
  <si>
    <t>pltv_3221228861</t>
  </si>
  <si>
    <t>http://ott.mobaibox.com/PLTV/4/224/3221228861/index.m3u8</t>
  </si>
  <si>
    <t>pltv_3221228864</t>
  </si>
  <si>
    <t>http://ott.mobaibox.com/PLTV/4/224/3221228864/index.m3u8</t>
  </si>
  <si>
    <t>pltv_3221228867</t>
  </si>
  <si>
    <t>http://ott.mobaibox.com/PLTV/4/224/3221228867/index.m3u8</t>
  </si>
  <si>
    <t>pltv_3221228870</t>
  </si>
  <si>
    <t>http://ott.mobaibox.com/PLTV/4/224/3221228870/index.m3u8</t>
  </si>
  <si>
    <t>pltv_3221228873</t>
  </si>
  <si>
    <t>http://ott.mobaibox.com/PLTV/4/224/3221228873/index.m3u8</t>
  </si>
  <si>
    <t>pltv_3221228887</t>
  </si>
  <si>
    <t>http://ott.mobaibox.com/PLTV/4/224/3221228887/index.m3u8</t>
  </si>
  <si>
    <t>pltv_3221228890</t>
  </si>
  <si>
    <t>http://ott.mobaibox.com/PLTV/4/224/3221228890/index.m3u8</t>
  </si>
  <si>
    <t>pltv_3221228893</t>
  </si>
  <si>
    <t>http://ott.mobaibox.com/PLTV/4/224/3221228893/index.m3u8</t>
  </si>
  <si>
    <t>pltv_3221228896</t>
  </si>
  <si>
    <t>http://ott.mobaibox.com/PLTV/4/224/3221228896/index.m3u8</t>
  </si>
  <si>
    <t>pltv_3221228897</t>
  </si>
  <si>
    <t>pltv_3221228899</t>
  </si>
  <si>
    <t>http://ott.mobaibox.com/PLTV/4/224/3221228899/index.m3u8</t>
  </si>
  <si>
    <t>pltv_3221228902</t>
  </si>
  <si>
    <t>http://ott.mobaibox.com/PLTV/4/224/3221228902/index.m3u8</t>
  </si>
  <si>
    <t>pltv_3221228905</t>
  </si>
  <si>
    <t>http://ott.mobaibox.com/PLTV/4/224/3221228905/index.m3u8</t>
  </si>
  <si>
    <t>pltv_3221228908</t>
  </si>
  <si>
    <t>http://ott.mobaibox.com/PLTV/4/224/3221228908/index.m3u8</t>
  </si>
  <si>
    <t>pltv_3221228911</t>
  </si>
  <si>
    <t>http://ott.mobaibox.com/PLTV/4/224/3221228911/index.m3u8</t>
  </si>
  <si>
    <t>pltv_3221228914</t>
  </si>
  <si>
    <t>http://ott.mobaibox.com/PLTV/4/224/3221228914/index.m3u8</t>
  </si>
  <si>
    <t>pltv_3221228917</t>
  </si>
  <si>
    <t>http://ott.mobaibox.com/PLTV/4/224/3221228917/index.m3u8</t>
  </si>
  <si>
    <t>pltv_3221228920</t>
  </si>
  <si>
    <t>http://ott.mobaibox.com/PLTV/4/224/3221228920/index.m3u8</t>
  </si>
  <si>
    <t>CCTV1,http://ott.mobaibox.com/PLTV/4/224/3221225530/index.m3u8</t>
  </si>
  <si>
    <t>CCTV1,http://ott.mobaibox.com/PLTV/4/224/3221227375/index.m3u8</t>
  </si>
  <si>
    <t>CCTV1,http://ott.mobaibox.com/PLTV/4/224/3221227462/index.m3u8</t>
  </si>
  <si>
    <t>CCTV1,http://ott.mobaibox.com/PLTV/4/224/3221227467/index.m3u8</t>
  </si>
  <si>
    <t>CCTV1,http://ott.mobaibox.com/PLTV/4/224/3221227634/index.m3u8</t>
  </si>
  <si>
    <t>CCTV1,http://ott.mobaibox.com/PLTV/4/224/3221227641/index.m3u8</t>
  </si>
  <si>
    <t>CCTV1,http://ott.mobaibox.com/PLTV/4/224/3221227644/index.m3u8</t>
  </si>
  <si>
    <t>CCTV1,http://ott.mobaibox.com/PLTV/4/224/3221227675/index.m3u8</t>
  </si>
  <si>
    <t>CCTV1,http://ott.mobaibox.com/PLTV/4/224/3221227725/index.m3u8</t>
  </si>
  <si>
    <t>CCTV1,http://ott.mobaibox.com/PLTV/4/224/3221228049/index.m3u8</t>
  </si>
  <si>
    <t>CCTV1,http://ott.mobaibox.com/PLTV/4/224/3221228146/index.m3u8</t>
  </si>
  <si>
    <t>CCTV1,http://ott.mobaibox.com/PLTV/4/224/3221228149/index.m3u8</t>
  </si>
  <si>
    <t>CCTV1,http://ott.mobaibox.com/PLTV/4/224/3221228213/index.m3u8</t>
  </si>
  <si>
    <t>CCTV1,http://ott.mobaibox.com/PLTV/4/224/3221228287/index.m3u8</t>
  </si>
  <si>
    <t>CCTV1-4K,http://ott.mobaibox.com/PLTV/4/224/3221228581/index.m3u8</t>
  </si>
  <si>
    <t>CCTV1-4K,http://ott.mobaibox.com/PLTV/4/224/3221228732/index.m3u8</t>
  </si>
  <si>
    <t>CCTV2,http://ott.mobaibox.com/PLTV/4/224/3221226993/index.m3u8</t>
  </si>
  <si>
    <t>CCTV2,http://ott.mobaibox.com/PLTV/4/224/3221227207/index.m3u8</t>
  </si>
  <si>
    <t>CCTV2,http://ott.mobaibox.com/PLTV/4/224/3221227427/index.m3u8</t>
  </si>
  <si>
    <t>CCTV2,http://ott.mobaibox.com/PLTV/4/224/3221227543/index.m3u8</t>
  </si>
  <si>
    <t>CCTV2,http://ott.mobaibox.com/PLTV/4/224/3221227696/index.m3u8</t>
  </si>
  <si>
    <t>CCTV2,http://ott.mobaibox.com/PLTV/4/224/3221227708/index.m3u8</t>
  </si>
  <si>
    <t>CCTV2,http://ott.mobaibox.com/PLTV/4/224/3221228094/index.m3u8</t>
  </si>
  <si>
    <t>CCTV2,http://ott.mobaibox.com/PLTV/4/224/3221228118/index.m3u8</t>
  </si>
  <si>
    <t>CCTV2,http://ott.mobaibox.com/PLTV/4/224/3221228300/index.m3u8</t>
  </si>
  <si>
    <t>CCTV2,http://ott.mobaibox.com/PLTV/4/224/3221228616/index.m3u8</t>
  </si>
  <si>
    <t>CCTV2,http://ott.mobaibox.com/PLTV/4/224/3221228844/index.m3u8</t>
  </si>
  <si>
    <t>CCTV3,http://ott.mobaibox.com/PLTV/4/224/3221225588/index.m3u8</t>
  </si>
  <si>
    <t>CCTV3,http://ott.mobaibox.com/PLTV/4/224/3221227295/index.m3u8</t>
  </si>
  <si>
    <t>CCTV3,http://ott.mobaibox.com/PLTV/4/224/3221227424/index.m3u8</t>
  </si>
  <si>
    <t>CCTV3,http://ott.mobaibox.com/PLTV/4/224/3221227546/index.m3u8</t>
  </si>
  <si>
    <t>CCTV3,http://ott.mobaibox.com/PLTV/4/224/3221227623/index.m3u8</t>
  </si>
  <si>
    <t>CCTV3,http://ott.mobaibox.com/PLTV/4/224/3221227650/index.m3u8</t>
  </si>
  <si>
    <t>CCTV3,http://ott.mobaibox.com/PLTV/4/224/3221228126/index.m3u8</t>
  </si>
  <si>
    <t>CCTV3,http://ott.mobaibox.com/PLTV/4/224/3221228188/index.m3u8</t>
  </si>
  <si>
    <t>CCTV3,http://ott.mobaibox.com/PLTV/4/224/3221228237/index.m3u8</t>
  </si>
  <si>
    <t>CCTV3,http://ott.mobaibox.com/PLTV/4/224/3221228392/index.m3u8</t>
  </si>
  <si>
    <t>CCTV3-4K,http://ott.mobaibox.com/PLTV/4/224/3221228499/index.m3u8</t>
  </si>
  <si>
    <t>CCTV4,http://ott.mobaibox.com/PLTV/4/224/3221225534/index.m3u8</t>
  </si>
  <si>
    <t>CCTV4,http://ott.mobaibox.com/PLTV/4/224/3221227378/index.m3u8</t>
  </si>
  <si>
    <t>CCTV4,http://ott.mobaibox.com/PLTV/4/224/3221227489/index.m3u8</t>
  </si>
  <si>
    <t>CCTV4,http://ott.mobaibox.com/PLTV/4/224/3221227549/index.m3u8</t>
  </si>
  <si>
    <t>CCTV4,http://ott.mobaibox.com/PLTV/4/224/3221227658/index.m3u8</t>
  </si>
  <si>
    <t>CCTV4,http://ott.mobaibox.com/PLTV/4/224/3221227683/index.m3u8</t>
  </si>
  <si>
    <t>CCTV4,http://ott.mobaibox.com/PLTV/4/224/3221228091/index.m3u8</t>
  </si>
  <si>
    <t>CCTV4,http://ott.mobaibox.com/PLTV/4/224/3221228156/index.m3u8</t>
  </si>
  <si>
    <t>CCTV4,http://ott.mobaibox.com/PLTV/4/224/3221228307/index.m3u8</t>
  </si>
  <si>
    <t>CCTV5,http://ott.mobaibox.com/PLTV/4/224/3221227166/index.m3u8</t>
  </si>
  <si>
    <t>CCTV5,http://ott.mobaibox.com/PLTV/4/224/3221227298/index.m3u8</t>
  </si>
  <si>
    <t>CCTV5,http://ott.mobaibox.com/PLTV/4/224/3221227401/index.m3u8</t>
  </si>
  <si>
    <t>CCTV5,http://ott.mobaibox.com/PLTV/4/224/3221227537/index.m3u8</t>
  </si>
  <si>
    <t>CCTV5,http://ott.mobaibox.com/PLTV/4/224/3221227617/index.m3u8</t>
  </si>
  <si>
    <t>CCTV5,http://ott.mobaibox.com/PLTV/4/224/3221227640/index.m3u8</t>
  </si>
  <si>
    <t>CCTV5,http://ott.mobaibox.com/PLTV/4/224/3221227661/index.m3u8</t>
  </si>
  <si>
    <t>CCTV5,http://ott.mobaibox.com/PLTV/4/224/3221227686/index.m3u8</t>
  </si>
  <si>
    <t>CCTV5,http://ott.mobaibox.com/PLTV/4/224/3221228082/index.m3u8</t>
  </si>
  <si>
    <t>CCTV5,http://ott.mobaibox.com/PLTV/4/224/3221228173/index.m3u8</t>
  </si>
  <si>
    <t>CCTV5,http://ott.mobaibox.com/PLTV/4/224/3221228179/index.m3u8</t>
  </si>
  <si>
    <t>CCTV5,http://ott.mobaibox.com/PLTV/4/224/3221228395/index.m3u8</t>
  </si>
  <si>
    <t>CCTV5-4K,http://ott.mobaibox.com/PLTV/4/224/3221228502/index.m3u8</t>
  </si>
  <si>
    <t>CCTV5+,http://ott.mobaibox.com/PLTV/4/224/3221225604/index.m3u8</t>
  </si>
  <si>
    <t>CCTV5+,http://ott.mobaibox.com/PLTV/4/224/3221227381/index.m3u8</t>
  </si>
  <si>
    <t>CCTV5+,http://ott.mobaibox.com/PLTV/4/224/3221227480/index.m3u8</t>
  </si>
  <si>
    <t>CCTV5+,http://ott.mobaibox.com/PLTV/4/224/3221227502/index.m3u8</t>
  </si>
  <si>
    <t>CCTV5+,http://ott.mobaibox.com/PLTV/4/224/3221227631/index.m3u8</t>
  </si>
  <si>
    <t>CCTV5+,http://ott.mobaibox.com/PLTV/4/224/3221227685/index.m3u8</t>
  </si>
  <si>
    <t>CCTV5+,http://ott.mobaibox.com/PLTV/4/224/3221227714/index.m3u8</t>
  </si>
  <si>
    <t>CCTV5+,http://ott.mobaibox.com/PLTV/4/224/3221228076/index.m3u8</t>
  </si>
  <si>
    <t>CCTV5+,http://ott.mobaibox.com/PLTV/4/224/3221228114/index.m3u8</t>
  </si>
  <si>
    <t>CCTV5+,http://ott.mobaibox.com/PLTV/4/224/3221228176/index.m3u8</t>
  </si>
  <si>
    <t>CCTV5+,http://ott.mobaibox.com/PLTV/4/224/3221228277/index.m3u8</t>
  </si>
  <si>
    <t>CCTV5+,http://ott.mobaibox.com/PLTV/4/224/3221228492/index.m3u8</t>
  </si>
  <si>
    <t>CCTV6,http://ott.mobaibox.com/PLTV/4/224/3221225548/index.m3u8</t>
  </si>
  <si>
    <t>CCTV6,http://ott.mobaibox.com/PLTV/4/224/3221227209/index.m3u8</t>
  </si>
  <si>
    <t>CCTV6,http://ott.mobaibox.com/PLTV/4/224/3221227301/index.m3u8</t>
  </si>
  <si>
    <t>CCTV6,http://ott.mobaibox.com/PLTV/4/224/3221227430/index.m3u8</t>
  </si>
  <si>
    <t>CCTV6,http://ott.mobaibox.com/PLTV/4/224/3221227505/index.m3u8</t>
  </si>
  <si>
    <t>CCTV6,http://ott.mobaibox.com/PLTV/4/224/3221227581/index.m3u8</t>
  </si>
  <si>
    <t>CCTV6,http://ott.mobaibox.com/PLTV/4/224/3221227664/index.m3u8</t>
  </si>
  <si>
    <t>CCTV6,http://ott.mobaibox.com/PLTV/4/224/3221228123/index.m3u8</t>
  </si>
  <si>
    <t>CCTV6,http://ott.mobaibox.com/PLTV/4/224/3221228185/index.m3u8</t>
  </si>
  <si>
    <t>CCTV6,http://ott.mobaibox.com/PLTV/4/224/3221228196/index.m3u8</t>
  </si>
  <si>
    <t>CCTV6,http://ott.mobaibox.com/PLTV/4/224/3221228280/index.m3u8</t>
  </si>
  <si>
    <t>CCTV6,http://ott.mobaibox.com/PLTV/4/224/3221228516/index.m3u8</t>
  </si>
  <si>
    <t>CCTV7,http://ott.mobaibox.com/PLTV/4/224/3221225546/index.m3u8</t>
  </si>
  <si>
    <t>CCTV7,http://ott.mobaibox.com/PLTV/4/224/3221227314/index.m3u8</t>
  </si>
  <si>
    <t>CCTV7,http://ott.mobaibox.com/PLTV/4/224/3221227626/index.m3u8</t>
  </si>
  <si>
    <t>CCTV7,http://ott.mobaibox.com/PLTV/4/224/3221227642/index.m3u8</t>
  </si>
  <si>
    <t>CCTV7,http://ott.mobaibox.com/PLTV/4/224/3221228640/index.m3u8</t>
  </si>
  <si>
    <t>CCTV7,http://ott.mobaibox.com/PLTV/4/224/3221228643/index.m3u8</t>
  </si>
  <si>
    <t>CCTV8,http://ott.mobaibox.com/PLTV/4/224/3221227205/index.m3u8</t>
  </si>
  <si>
    <t>CCTV8,http://ott.mobaibox.com/PLTV/4/224/3221227304/index.m3u8</t>
  </si>
  <si>
    <t>CCTV8,http://ott.mobaibox.com/PLTV/4/224/3221227433/index.m3u8</t>
  </si>
  <si>
    <t>CCTV8,http://ott.mobaibox.com/PLTV/4/224/3221227473/index.m3u8</t>
  </si>
  <si>
    <t>CCTV8,http://ott.mobaibox.com/PLTV/4/224/3221227629/index.m3u8</t>
  </si>
  <si>
    <t>CCTV8,http://ott.mobaibox.com/PLTV/4/224/3221227667/index.m3u8</t>
  </si>
  <si>
    <t>CCTV8,http://ott.mobaibox.com/PLTV/4/224/3221227750/index.m3u8</t>
  </si>
  <si>
    <t>CCTV8,http://ott.mobaibox.com/PLTV/4/224/3221228079/index.m3u8</t>
  </si>
  <si>
    <t>CCTV8,http://ott.mobaibox.com/PLTV/4/224/3221228084/index.m3u8</t>
  </si>
  <si>
    <t>CCTV8,http://ott.mobaibox.com/PLTV/4/224/3221228194/index.m3u8</t>
  </si>
  <si>
    <t>CCTV8,http://ott.mobaibox.com/PLTV/4/224/3221228398/index.m3u8</t>
  </si>
  <si>
    <t>CCTV8,http://ott.mobaibox.com/PLTV/4/224/3221228578/index.m3u8</t>
  </si>
  <si>
    <t>CCTV9,http://ott.mobaibox.com/PLTV/4/224/3221225532/index.m3u8</t>
  </si>
  <si>
    <t>CCTV9,http://ott.mobaibox.com/PLTV/4/224/3221227614/index.m3u8</t>
  </si>
  <si>
    <t>CCTV9,http://ott.mobaibox.com/PLTV/4/224/3221227659/index.m3u8</t>
  </si>
  <si>
    <t>CCTV9,http://ott.mobaibox.com/PLTV/4/224/3221227704/index.m3u8</t>
  </si>
  <si>
    <t>CCTV9,http://ott.mobaibox.com/PLTV/4/224/3221228619/index.m3u8</t>
  </si>
  <si>
    <t>CCTV9,http://ott.mobaibox.com/PLTV/4/224/3221228758/index.m3u8</t>
  </si>
  <si>
    <t>CCTV10,http://ott.mobaibox.com/PLTV/4/224/3221225550/index.m3u8</t>
  </si>
  <si>
    <t>CCTV10,http://ott.mobaibox.com/PLTV/4/224/3221227317/index.m3u8</t>
  </si>
  <si>
    <t>CCTV10,http://ott.mobaibox.com/PLTV/4/224/3221227620/index.m3u8</t>
  </si>
  <si>
    <t>CCTV10,http://ott.mobaibox.com/PLTV/4/224/3221227717/index.m3u8</t>
  </si>
  <si>
    <t>CCTV10,http://ott.mobaibox.com/PLTV/4/224/3221228654/index.m3u8</t>
  </si>
  <si>
    <t>CCTV10,http://ott.mobaibox.com/PLTV/4/224/3221228761/index.m3u8</t>
  </si>
  <si>
    <t>CCTV11,http://ott.mobaibox.com/PLTV/4/224/3221227384/index.m3u8</t>
  </si>
  <si>
    <t>CCTV11,http://ott.mobaibox.com/PLTV/4/224/3221227524/index.m3u8</t>
  </si>
  <si>
    <t>CCTV11,http://ott.mobaibox.com/PLTV/4/224/3221227720/index.m3u8</t>
  </si>
  <si>
    <t>CCTV12,http://ott.mobaibox.com/PLTV/4/224/3221225556/index.m3u8</t>
  </si>
  <si>
    <t>CCTV12,http://ott.mobaibox.com/PLTV/4/224/3221227637/index.m3u8</t>
  </si>
  <si>
    <t>CCTV12,http://ott.mobaibox.com/PLTV/4/224/3221227655/index.m3u8</t>
  </si>
  <si>
    <t>CCTV12,http://ott.mobaibox.com/PLTV/4/224/3221228551/index.m3u8</t>
  </si>
  <si>
    <t>CCTV12,http://ott.mobaibox.com/PLTV/4/224/3221228630/index.m3u8</t>
  </si>
  <si>
    <t>CCTV12,http://ott.mobaibox.com/PLTV/4/224/3221228646/index.m3u8</t>
  </si>
  <si>
    <t>CCTV12,http://ott.mobaibox.com/PLTV/4/224/3221228657/index.m3u8</t>
  </si>
  <si>
    <t>CCTV13,http://ott.mobaibox.com/PLTV/4/224/3221225560/index.m3u8</t>
  </si>
  <si>
    <t>CCTV13,http://ott.mobaibox.com/PLTV/4/224/3221227387/index.m3u8</t>
  </si>
  <si>
    <t>CCTV13,http://ott.mobaibox.com/PLTV/4/224/3221228121/index.m3u8</t>
  </si>
  <si>
    <t>CCTV13,http://ott.mobaibox.com/PLTV/4/224/3221228224/index.m3u8</t>
  </si>
  <si>
    <t>CCTV13,http://ott.mobaibox.com/PLTV/4/224/3221228324/index.m3u8</t>
  </si>
  <si>
    <t>CCTV13,http://ott.mobaibox.com/PLTV/4/224/3221228649/index.m3u8</t>
  </si>
  <si>
    <t>CCTV13,http://ott.mobaibox.com/PLTV/4/224/3221228660/index.m3u8</t>
  </si>
  <si>
    <t>CCTV14,http://ott.mobaibox.com/PLTV/4/224/3221227201/index.m3u8</t>
  </si>
  <si>
    <t>CCTV14,http://ott.mobaibox.com/PLTV/4/224/3221227656/index.m3u8</t>
  </si>
  <si>
    <t>CCTV14,http://ott.mobaibox.com/PLTV/4/224/3221227693/index.m3u8</t>
  </si>
  <si>
    <t>CCTV14,http://ott.mobaibox.com/PLTV/4/224/3221228633/index.m3u8</t>
  </si>
  <si>
    <t>CCTV14,http://ott.mobaibox.com/PLTV/4/224/3221228636/index.m3u8</t>
  </si>
  <si>
    <t>CCTV15,http://ott.mobaibox.com/PLTV/4/224/3221227538/index.m3u8</t>
  </si>
  <si>
    <t>CCTV15,http://ott.mobaibox.com/PLTV/4/224/3221227723/index.m3u8</t>
  </si>
  <si>
    <t>CCTV15,http://ott.mobaibox.com/PLTV/4/224/3221228622/index.m3u8</t>
  </si>
  <si>
    <t>CCTV15,http://ott.mobaibox.com/PLTV/4/224/3221228639/index.m3u8</t>
  </si>
  <si>
    <t>CCTV16,http://ott.mobaibox.com/PLTV/4/224/3221228112/index.m3u8</t>
  </si>
  <si>
    <t>CCTV16,http://ott.mobaibox.com/PLTV/4/224/3221228144/index.m3u8</t>
  </si>
  <si>
    <t>CCTV16,http://ott.mobaibox.com/PLTV/4/224/3221228320/index.m3u8</t>
  </si>
  <si>
    <t>CCTV16,http://ott.mobaibox.com/PLTV/4/224/3221228625/index.m3u8</t>
  </si>
  <si>
    <t>CCTV16-4K,http://ott.mobaibox.com/PLTV/4/224/3221228168/index.m3u8</t>
  </si>
  <si>
    <t>CCTV16-4K,http://ott.mobaibox.com/PLTV/4/224/3221228314/index.m3u8</t>
  </si>
  <si>
    <t>CCTV17,http://ott.mobaibox.com/PLTV/4/224/3221227578/index.m3u8</t>
  </si>
  <si>
    <t>CCTV17,http://ott.mobaibox.com/PLTV/4/224/3221227589/index.m3u8</t>
  </si>
  <si>
    <t>CCTV17,http://ott.mobaibox.com/PLTV/4/224/3221227592/index.m3u8</t>
  </si>
  <si>
    <t>CCTV17,http://ott.mobaibox.com/PLTV/4/224/3221227726/index.m3u8</t>
  </si>
  <si>
    <t>CCTV17,http://ott.mobaibox.com/PLTV/4/224/3221228628/index.m3u8</t>
  </si>
  <si>
    <t>CCTV17,http://ott.mobaibox.com/PLTV/4/224/3221228642/index.m3u8</t>
  </si>
  <si>
    <t>CCTV4K,http://ott.mobaibox.com/PLTV/4/224/3221228228/index.m3u8</t>
  </si>
  <si>
    <t>CCTV4K,http://ott.mobaibox.com/PLTV/4/224/3221228472/index.m3u8</t>
  </si>
  <si>
    <t>CCTV8K,http://ott.mobaibox.com/PLTV/4/224/3221228165/index.m3u8</t>
  </si>
  <si>
    <t>CCTV高尔夫网球,http://ott.mobaibox.com/PLTV/4/224/3221228138/index.m3u8</t>
  </si>
  <si>
    <t>CCTV央视台球,http://ott.mobaibox.com/PLTV/4/224/3221228683/index.m3u8</t>
  </si>
  <si>
    <t>CCTV风云音乐,http://ott.mobaibox.com/PLTV/4/224/3221228665/index.m3u8</t>
  </si>
  <si>
    <t>CCTV怀旧剧场,http://ott.mobaibox.com/PLTV/4/224/3221228671/index.m3u8</t>
  </si>
  <si>
    <t>CCTV第一剧场,http://ott.mobaibox.com/PLTV/4/224/3221228659/index.m3u8</t>
  </si>
  <si>
    <t>CCTV风云剧场,http://ott.mobaibox.com/PLTV/4/224/3221228662/index.m3u8</t>
  </si>
  <si>
    <t>CCTV风云足球,http://ott.mobaibox.com/PLTV/4/224/3221228668/index.m3u8</t>
  </si>
  <si>
    <t>CCTV女性时尚,http://ott.mobaibox.com/PLTV/4/224/3221228674/index.m3u8</t>
  </si>
  <si>
    <t>CCTV文化精品,http://ott.mobaibox.com/PLTV/4/224/3221228677/index.m3u8</t>
  </si>
  <si>
    <t>CCTV世界地理,http://ott.mobaibox.com/PLTV/4/224/3221228680/index.m3u8</t>
  </si>
  <si>
    <t>CCTV兵器科技,http://ott.mobaibox.com/PLTV/4/224/3221228686/index.m3u8</t>
  </si>
  <si>
    <t>CCTV电视指南,http://ott.mobaibox.com/PLTV/4/224/3221228689/index.m3u8</t>
  </si>
  <si>
    <t>CETV早期教育,http://ott.mobaibox.com/PLTV/4/224/3221228692/index.m3u8</t>
  </si>
  <si>
    <t>CGTN,http://ott.mobaibox.com/PLTV/4/224/3221228811/index.m3u8</t>
  </si>
  <si>
    <t>凤凰中文,http://ott.mobaibox.com/PLTV/4/224/3221228527/index.m3u8</t>
  </si>
  <si>
    <t>凤凰资讯,http://ott.mobaibox.com/PLTV/4/224/3221228524/index.m3u8</t>
  </si>
  <si>
    <t>凤凰香港,http://ott.mobaibox.com/PLTV/4/224/3221228530/index.m3u8</t>
  </si>
  <si>
    <t>江苏卫视,http://ott.mobaibox.com/PLTV/4/224/3221227255/index.m3u8</t>
  </si>
  <si>
    <t>江苏卫视,http://ott.mobaibox.com/PLTV/4/224/3221227402/index.m3u8</t>
  </si>
  <si>
    <t>江苏卫视,http://ott.mobaibox.com/PLTV/4/224/3221227439/index.m3u8</t>
  </si>
  <si>
    <t>江苏卫视,http://ott.mobaibox.com/PLTV/4/224/3221227552/index.m3u8</t>
  </si>
  <si>
    <t>江苏卫视,http://ott.mobaibox.com/PLTV/4/224/3221227582/index.m3u8</t>
  </si>
  <si>
    <t>江苏卫视,http://ott.mobaibox.com/PLTV/4/224/3221227585/index.m3u8</t>
  </si>
  <si>
    <t>江苏卫视,http://ott.mobaibox.com/PLTV/4/224/3221227668/index.m3u8</t>
  </si>
  <si>
    <t>江苏卫视,http://ott.mobaibox.com/PLTV/4/224/3221227689/index.m3u8</t>
  </si>
  <si>
    <t>江苏卫视,http://ott.mobaibox.com/PLTV/4/224/3221227705/index.m3u8</t>
  </si>
  <si>
    <t>江苏卫视,http://ott.mobaibox.com/PLTV/4/224/3221228097/index.m3u8</t>
  </si>
  <si>
    <t>江苏卫视,http://ott.mobaibox.com/PLTV/4/224/3221228099/index.m3u8</t>
  </si>
  <si>
    <t>江苏卫视,http://ott.mobaibox.com/PLTV/4/224/3221228306/index.m3u8</t>
  </si>
  <si>
    <t>江苏卫视,http://ott.mobaibox.com/PLTV/4/224/3221228652/index.m3u8</t>
  </si>
  <si>
    <t>江苏卫视,http://ott.mobaibox.com/PLTV/4/224/3221228655/index.m3u8</t>
  </si>
  <si>
    <t>江苏卫视,http://ott.mobaibox.com/PLTV/4/224/3221228661/index.m3u8</t>
  </si>
  <si>
    <t>江苏卫视,http://ott.mobaibox.com/PLTV/4/224/3221228764/index.m3u8</t>
  </si>
  <si>
    <t>江苏卫视,http://ott.mobaibox.com/PLTV/4/224/3221228767/index.m3u8</t>
  </si>
  <si>
    <t>江苏卫视,http://ott.mobaibox.com/PLTV/4/224/3221228770/index.m3u8</t>
  </si>
  <si>
    <t>江苏卫视-4K,http://ott.mobaibox.com/PLTV/4/224/3221228861/index.m3u8</t>
  </si>
  <si>
    <t>湖南卫视,http://ott.mobaibox.com/PLTV/4/224/3221227220/index.m3u8</t>
  </si>
  <si>
    <t>湖南卫视,http://ott.mobaibox.com/PLTV/4/224/3221227320/index.m3u8</t>
  </si>
  <si>
    <t>湖南卫视,http://ott.mobaibox.com/PLTV/4/224/3221227404/index.m3u8</t>
  </si>
  <si>
    <t>湖南卫视,http://ott.mobaibox.com/PLTV/4/224/3221227482/index.m3u8</t>
  </si>
  <si>
    <t>湖南卫视,http://ott.mobaibox.com/PLTV/4/224/3221227698/index.m3u8</t>
  </si>
  <si>
    <t>湖南卫视,http://ott.mobaibox.com/PLTV/4/224/3221227735/index.m3u8</t>
  </si>
  <si>
    <t>湖南卫视,http://ott.mobaibox.com/PLTV/4/224/3221228227/index.m3u8</t>
  </si>
  <si>
    <t>湖南卫视,http://ott.mobaibox.com/PLTV/4/224/3221228413/index.m3u8</t>
  </si>
  <si>
    <t>浙江卫视,http://ott.mobaibox.com/PLTV/4/224/3221227215/index.m3u8</t>
  </si>
  <si>
    <t>浙江卫视,http://ott.mobaibox.com/PLTV/4/224/3221227393/index.m3u8</t>
  </si>
  <si>
    <t>浙江卫视,http://ott.mobaibox.com/PLTV/4/224/3221227491/index.m3u8</t>
  </si>
  <si>
    <t>浙江卫视,http://ott.mobaibox.com/PLTV/4/224/3221227692/index.m3u8</t>
  </si>
  <si>
    <t>浙江卫视,http://ott.mobaibox.com/PLTV/4/224/3221227744/index.m3u8</t>
  </si>
  <si>
    <t>浙江卫视,http://ott.mobaibox.com/PLTV/4/224/3221228147/index.m3u8</t>
  </si>
  <si>
    <t>浙江卫视,http://ott.mobaibox.com/PLTV/4/224/3221228204/index.m3u8</t>
  </si>
  <si>
    <t>浙江卫视,http://ott.mobaibox.com/PLTV/4/224/3221228309/index.m3u8</t>
  </si>
  <si>
    <t>安徽卫视,http://ott.mobaibox.com/PLTV/4/224/3221225634/index.m3u8</t>
  </si>
  <si>
    <t>安徽卫视,http://ott.mobaibox.com/PLTV/4/224/3221227498/index.m3u8</t>
  </si>
  <si>
    <t>安徽卫视,http://ott.mobaibox.com/PLTV/4/224/3221227558/index.m3u8</t>
  </si>
  <si>
    <t>安徽卫视,http://ott.mobaibox.com/PLTV/4/224/3221227643/index.m3u8</t>
  </si>
  <si>
    <t>安徽卫视,http://ott.mobaibox.com/PLTV/4/224/3221227653/index.m3u8</t>
  </si>
  <si>
    <t>安徽卫视,http://ott.mobaibox.com/PLTV/4/224/3221227759/index.m3u8</t>
  </si>
  <si>
    <t>安徽卫视,http://ott.mobaibox.com/PLTV/4/224/3221228153/index.m3u8</t>
  </si>
  <si>
    <t>安徽卫视,http://ott.mobaibox.com/PLTV/4/224/3221228327/index.m3u8</t>
  </si>
  <si>
    <t>安徽卫视,http://ott.mobaibox.com/PLTV/4/224/3221228645/index.m3u8</t>
  </si>
  <si>
    <t>北京卫视,http://ott.mobaibox.com/PLTV/4/224/3221227246/index.m3u8</t>
  </si>
  <si>
    <t>北京卫视,http://ott.mobaibox.com/PLTV/4/224/3221227390/index.m3u8</t>
  </si>
  <si>
    <t>北京卫视,http://ott.mobaibox.com/PLTV/4/224/3221227436/index.m3u8</t>
  </si>
  <si>
    <t>北京卫视,http://ott.mobaibox.com/PLTV/4/224/3221227508/index.m3u8</t>
  </si>
  <si>
    <t>北京卫视,http://ott.mobaibox.com/PLTV/4/224/3221227652/index.m3u8</t>
  </si>
  <si>
    <t>北京卫视,http://ott.mobaibox.com/PLTV/4/224/3221227694/index.m3u8</t>
  </si>
  <si>
    <t>北京卫视,http://ott.mobaibox.com/PLTV/4/224/3221228115/index.m3u8</t>
  </si>
  <si>
    <t>北京卫视,http://ott.mobaibox.com/PLTV/4/224/3221228410/index.m3u8</t>
  </si>
  <si>
    <t>北京卫视4K,http://ott.mobaibox.com/PLTV/4/224/3221228817/index.m3u8</t>
  </si>
  <si>
    <t>北京卫视4K,http://ott.mobaibox.com/PLTV/4/224/3221228890/index.m3u8</t>
  </si>
  <si>
    <t>兵团卫视,http://ott.mobaibox.com/PLTV/4/224/3221227025/index.m3u8</t>
  </si>
  <si>
    <t>大湾区卫视,http://ott.mobaibox.com/PLTV/4/224/3221228326/index.m3u8</t>
  </si>
  <si>
    <t>东方卫视,http://ott.mobaibox.com/PLTV/4/224/3221227208/index.m3u8</t>
  </si>
  <si>
    <t>东方卫视,http://ott.mobaibox.com/PLTV/4/224/3221227396/index.m3u8</t>
  </si>
  <si>
    <t>东方卫视,http://ott.mobaibox.com/PLTV/4/224/3221227486/index.m3u8</t>
  </si>
  <si>
    <t>东方卫视,http://ott.mobaibox.com/PLTV/4/224/3221227511/index.m3u8</t>
  </si>
  <si>
    <t>东方卫视,http://ott.mobaibox.com/PLTV/4/224/3221227597/index.m3u8</t>
  </si>
  <si>
    <t>东方卫视,http://ott.mobaibox.com/PLTV/4/224/3221227688/index.m3u8</t>
  </si>
  <si>
    <t>东方卫视,http://ott.mobaibox.com/PLTV/4/224/3221227732/index.m3u8</t>
  </si>
  <si>
    <t>东方卫视,http://ott.mobaibox.com/PLTV/4/224/3221228150/index.m3u8</t>
  </si>
  <si>
    <t>东方卫视,http://ott.mobaibox.com/PLTV/4/224/3221228425/index.m3u8</t>
  </si>
  <si>
    <t>东方卫视,http://ott.mobaibox.com/PLTV/4/224/3221228504/index.m3u8</t>
  </si>
  <si>
    <t>东南卫视,http://ott.mobaibox.com/PLTV/4/224/3221227553/index.m3u8</t>
  </si>
  <si>
    <t>东南卫视,http://ott.mobaibox.com/PLTV/4/224/3221227670/index.m3u8</t>
  </si>
  <si>
    <t>甘肃卫视,http://ott.mobaibox.com/PLTV/4/224/3221227568/index.m3u8</t>
  </si>
  <si>
    <t>甘肃卫视,http://ott.mobaibox.com/PLTV/4/224/3221228166/index.m3u8</t>
  </si>
  <si>
    <t>广东卫视,http://ott.mobaibox.com/PLTV/4/224/3221227249/index.m3u8</t>
  </si>
  <si>
    <t>广东卫视,http://ott.mobaibox.com/PLTV/4/224/3221227399/index.m3u8</t>
  </si>
  <si>
    <t>广东卫视,http://ott.mobaibox.com/PLTV/4/224/3221227445/index.m3u8</t>
  </si>
  <si>
    <t>广东卫视,http://ott.mobaibox.com/PLTV/4/224/3221227476/index.m3u8</t>
  </si>
  <si>
    <t>广东卫视,http://ott.mobaibox.com/PLTV/4/224/3221227591/index.m3u8</t>
  </si>
  <si>
    <t>广东卫视,http://ott.mobaibox.com/PLTV/4/224/3221227673/index.m3u8</t>
  </si>
  <si>
    <t>广东卫视,http://ott.mobaibox.com/PLTV/4/224/3221227691/index.m3u8</t>
  </si>
  <si>
    <t>广东卫视,http://ott.mobaibox.com/PLTV/4/224/3221228230/index.m3u8</t>
  </si>
  <si>
    <t>广东卫视,http://ott.mobaibox.com/PLTV/4/224/3221228312/index.m3u8</t>
  </si>
  <si>
    <t>广东卫视,http://ott.mobaibox.com/PLTV/4/224/3221228566/index.m3u8</t>
  </si>
  <si>
    <t>广东卫视4K,http://ott.mobaibox.com/PLTV/4/224/3221228838/index.m3u8</t>
  </si>
  <si>
    <t>广西卫视,http://ott.mobaibox.com/PLTV/4/224/3221225806/index.m3u8</t>
  </si>
  <si>
    <t>广西卫视,http://ott.mobaibox.com/PLTV/4/224/3221228183/index.m3u8</t>
  </si>
  <si>
    <t>贵州卫视,http://ott.mobaibox.com/PLTV/4/224/3221227551/index.m3u8</t>
  </si>
  <si>
    <t>贵州卫视,http://ott.mobaibox.com/PLTV/4/224/3221228136/index.m3u8</t>
  </si>
  <si>
    <t>贵州卫视,http://ott.mobaibox.com/PLTV/4/224/3221228634/index.m3u8</t>
  </si>
  <si>
    <t>海南卫视,http://ott.mobaibox.com/PLTV/4/224/3221228101/index.m3u8</t>
  </si>
  <si>
    <t>海南卫视,http://ott.mobaibox.com/PLTV/4/224/3221228139/index.m3u8</t>
  </si>
  <si>
    <t>河北卫视,http://ott.mobaibox.com/PLTV/4/224/3221227545/index.m3u8</t>
  </si>
  <si>
    <t>河北卫视,http://ott.mobaibox.com/PLTV/4/224/3221228106/index.m3u8</t>
  </si>
  <si>
    <t>河北卫视,http://ott.mobaibox.com/PLTV/4/224/3221228752/index.m3u8</t>
  </si>
  <si>
    <t>河南卫视,http://ott.mobaibox.com/PLTV/4/224/3221228221/index.m3u8</t>
  </si>
  <si>
    <t>黑龙江卫视,http://ott.mobaibox.com/PLTV/4/224/3221227252/index.m3u8</t>
  </si>
  <si>
    <t>黑龙江卫视,http://ott.mobaibox.com/PLTV/4/224/3221227323/index.m3u8</t>
  </si>
  <si>
    <t>黑龙江卫视,http://ott.mobaibox.com/PLTV/4/224/3221227492/index.m3u8</t>
  </si>
  <si>
    <t>黑龙江卫视,http://ott.mobaibox.com/PLTV/4/224/3221227514/index.m3u8</t>
  </si>
  <si>
    <t>黑龙江卫视,http://ott.mobaibox.com/PLTV/4/224/3221227638/index.m3u8</t>
  </si>
  <si>
    <t>黑龙江卫视,http://ott.mobaibox.com/PLTV/4/224/3221227662/index.m3u8</t>
  </si>
  <si>
    <t>黑龙江卫视,http://ott.mobaibox.com/PLTV/4/224/3221227753/index.m3u8</t>
  </si>
  <si>
    <t>黑龙江卫视,http://ott.mobaibox.com/PLTV/4/224/3221228233/index.m3u8</t>
  </si>
  <si>
    <t>黑龙江卫视,http://ott.mobaibox.com/PLTV/4/224/3221228295/index.m3u8</t>
  </si>
  <si>
    <t>湖北卫视,http://ott.mobaibox.com/PLTV/4/224/3221227211/index.m3u8</t>
  </si>
  <si>
    <t>湖北卫视,http://ott.mobaibox.com/PLTV/4/224/3221227377/index.m3u8</t>
  </si>
  <si>
    <t>湖北卫视,http://ott.mobaibox.com/PLTV/4/224/3221227479/index.m3u8</t>
  </si>
  <si>
    <t>湖北卫视,http://ott.mobaibox.com/PLTV/4/224/3221227495/index.m3u8</t>
  </si>
  <si>
    <t>湖北卫视,http://ott.mobaibox.com/PLTV/4/224/3221227565/index.m3u8</t>
  </si>
  <si>
    <t>湖北卫视,http://ott.mobaibox.com/PLTV/4/224/3221227665/index.m3u8</t>
  </si>
  <si>
    <t>湖北卫视,http://ott.mobaibox.com/PLTV/4/224/3221227703/index.m3u8</t>
  </si>
  <si>
    <t>湖北卫视,http://ott.mobaibox.com/PLTV/4/224/3221228159/index.m3u8</t>
  </si>
  <si>
    <t>吉林卫视,http://ott.mobaibox.com/PLTV/4/224/3221228028/index.m3u8</t>
  </si>
  <si>
    <t>吉林卫视,http://ott.mobaibox.com/PLTV/4/224/3221228130/index.m3u8</t>
  </si>
  <si>
    <t>吉林卫视,http://ott.mobaibox.com/PLTV/4/224/3221228631/index.m3u8</t>
  </si>
  <si>
    <t>纪实科教,http://ott.mobaibox.com/PLTV/4/224/3221227699/index.m3u8</t>
  </si>
  <si>
    <t>纪实科教,http://ott.mobaibox.com/PLTV/4/224/3221228755/index.m3u8</t>
  </si>
  <si>
    <t>江西卫视,http://ott.mobaibox.com/PLTV/4/224/3221225536/index.m3u8</t>
  </si>
  <si>
    <t>江西卫视,http://ott.mobaibox.com/PLTV/4/224/3221227738/index.m3u8</t>
  </si>
  <si>
    <t>江西卫视,http://ott.mobaibox.com/PLTV/4/224/3221228109/index.m3u8</t>
  </si>
  <si>
    <t>江西卫视,http://ott.mobaibox.com/PLTV/4/224/3221228749/index.m3u8</t>
  </si>
  <si>
    <t>辽宁卫视,http://ott.mobaibox.com/PLTV/4/224/3221227380/index.m3u8</t>
  </si>
  <si>
    <t>辽宁卫视,http://ott.mobaibox.com/PLTV/4/224/3221227410/index.m3u8</t>
  </si>
  <si>
    <t>辽宁卫视,http://ott.mobaibox.com/PLTV/4/224/3221227485/index.m3u8</t>
  </si>
  <si>
    <t>辽宁卫视,http://ott.mobaibox.com/PLTV/4/224/3221227676/index.m3u8</t>
  </si>
  <si>
    <t>辽宁卫视,http://ott.mobaibox.com/PLTV/4/224/3221227700/index.m3u8</t>
  </si>
  <si>
    <t>辽宁卫视,http://ott.mobaibox.com/PLTV/4/224/3221228162/index.m3u8</t>
  </si>
  <si>
    <t>辽宁卫视,http://ott.mobaibox.com/PLTV/4/224/3221228310/index.m3u8</t>
  </si>
  <si>
    <t>内蒙古卫视,http://ott.mobaibox.com/PLTV/4/224/3221225836/index.m3u8</t>
  </si>
  <si>
    <t>宁夏卫视,http://ott.mobaibox.com/PLTV/4/224/3221225842/index.m3u8</t>
  </si>
  <si>
    <t>青海卫视,http://ott.mobaibox.com/PLTV/4/224/3221225783/index.m3u8</t>
  </si>
  <si>
    <t>青海卫视,http://ott.mobaibox.com/PLTV/4/224/3221227554/index.m3u8</t>
  </si>
  <si>
    <t>三沙卫视,http://ott.mobaibox.com/PLTV/4/224/3221228626/index.m3u8</t>
  </si>
  <si>
    <t>厦门卫视,http://ott.mobaibox.com/PLTV/4/224/3221226996/index.m3u8</t>
  </si>
  <si>
    <t>山东卫视,http://ott.mobaibox.com/PLTV/4/224/3221227258/index.m3u8</t>
  </si>
  <si>
    <t>山东卫视,http://ott.mobaibox.com/PLTV/4/224/3221227310/index.m3u8</t>
  </si>
  <si>
    <t>山东卫视,http://ott.mobaibox.com/PLTV/4/224/3221227448/index.m3u8</t>
  </si>
  <si>
    <t>山东卫视,http://ott.mobaibox.com/PLTV/4/224/3221227517/index.m3u8</t>
  </si>
  <si>
    <t>山东卫视,http://ott.mobaibox.com/PLTV/4/224/3221227621/index.m3u8</t>
  </si>
  <si>
    <t>山东卫视,http://ott.mobaibox.com/PLTV/4/224/3221227671/index.m3u8</t>
  </si>
  <si>
    <t>山东卫视,http://ott.mobaibox.com/PLTV/4/224/3221227697/index.m3u8</t>
  </si>
  <si>
    <t>山东卫视,http://ott.mobaibox.com/PLTV/4/224/3221228124/index.m3u8</t>
  </si>
  <si>
    <t>山东卫视,http://ott.mobaibox.com/PLTV/4/224/3221228315/index.m3u8</t>
  </si>
  <si>
    <t>山东卫视,http://ott.mobaibox.com/PLTV/4/224/3221228560/index.m3u8</t>
  </si>
  <si>
    <t>山西卫视,http://ott.mobaibox.com/PLTV/4/224/3221225786/index.m3u8</t>
  </si>
  <si>
    <t>山西卫视,http://ott.mobaibox.com/PLTV/4/224/3221228870/index.m3u8</t>
  </si>
  <si>
    <t>陕西卫视,http://ott.mobaibox.com/PLTV/4/224/3221227022/index.m3u8</t>
  </si>
  <si>
    <t>深圳卫视,http://ott.mobaibox.com/PLTV/4/224/3221227217/index.m3u8</t>
  </si>
  <si>
    <t>深圳卫视,http://ott.mobaibox.com/PLTV/4/224/3221227307/index.m3u8</t>
  </si>
  <si>
    <t>深圳卫视,http://ott.mobaibox.com/PLTV/4/224/3221227442/index.m3u8</t>
  </si>
  <si>
    <t>深圳卫视,http://ott.mobaibox.com/PLTV/4/224/3221227555/index.m3u8</t>
  </si>
  <si>
    <t>深圳卫视,http://ott.mobaibox.com/PLTV/4/224/3221227624/index.m3u8</t>
  </si>
  <si>
    <t>深圳卫视,http://ott.mobaibox.com/PLTV/4/224/3221227677/index.m3u8</t>
  </si>
  <si>
    <t>深圳卫视,http://ott.mobaibox.com/PLTV/4/224/3221227695/index.m3u8</t>
  </si>
  <si>
    <t>深圳卫视,http://ott.mobaibox.com/PLTV/4/224/3221228236/index.m3u8</t>
  </si>
  <si>
    <t>深圳卫视,http://ott.mobaibox.com/PLTV/4/224/3221228569/index.m3u8</t>
  </si>
  <si>
    <t>深圳卫视4K,http://ott.mobaibox.com/PLTV/4/224/3221228835/index.m3u8</t>
  </si>
  <si>
    <t>四川卫视,http://ott.mobaibox.com/PLTV/4/224/3221227556/index.m3u8</t>
  </si>
  <si>
    <t>四川卫视,http://ott.mobaibox.com/PLTV/4/224/3221228171/index.m3u8</t>
  </si>
  <si>
    <t>四川卫视,http://ott.mobaibox.com/PLTV/4/224/3221228648/index.m3u8</t>
  </si>
  <si>
    <t>天津卫视,http://ott.mobaibox.com/PLTV/4/224/3221227212/index.m3u8</t>
  </si>
  <si>
    <t>天津卫视,http://ott.mobaibox.com/PLTV/4/224/3221227382/index.m3u8</t>
  </si>
  <si>
    <t>天津卫视,http://ott.mobaibox.com/PLTV/4/224/3221227407/index.m3u8</t>
  </si>
  <si>
    <t>天津卫视,http://ott.mobaibox.com/PLTV/4/224/3221227488/index.m3u8</t>
  </si>
  <si>
    <t>天津卫视,http://ott.mobaibox.com/PLTV/4/224/3221227633/index.m3u8</t>
  </si>
  <si>
    <t>天津卫视,http://ott.mobaibox.com/PLTV/4/224/3221227741/index.m3u8</t>
  </si>
  <si>
    <t>天津卫视,http://ott.mobaibox.com/PLTV/4/224/3221227756/index.m3u8</t>
  </si>
  <si>
    <t>天津卫视,http://ott.mobaibox.com/PLTV/4/224/3221228239/index.m3u8</t>
  </si>
  <si>
    <t>天津卫视,http://ott.mobaibox.com/PLTV/4/224/3221228416/index.m3u8</t>
  </si>
  <si>
    <t>西藏卫视,http://ott.mobaibox.com/PLTV/4/224/3221226376/index.m3u8</t>
  </si>
  <si>
    <t>新疆卫视,http://ott.mobaibox.com/PLTV/4/224/3221225844/index.m3u8</t>
  </si>
  <si>
    <t>新疆卫视,http://ott.mobaibox.com/PLTV/4/224/3221228290/index.m3u8</t>
  </si>
  <si>
    <t>云南卫视,http://ott.mobaibox.com/PLTV/4/224/3221227571/index.m3u8</t>
  </si>
  <si>
    <t>云南卫视,http://ott.mobaibox.com/PLTV/4/224/3221228169/index.m3u8</t>
  </si>
  <si>
    <t>重庆卫视,http://ott.mobaibox.com/PLTV/4/224/3221227550/index.m3u8</t>
  </si>
  <si>
    <t>重庆卫视,http://ott.mobaibox.com/PLTV/4/224/3221227632/index.m3u8</t>
  </si>
  <si>
    <t>重庆卫视,http://ott.mobaibox.com/PLTV/4/224/3221227729/index.m3u8</t>
  </si>
  <si>
    <t>重庆卫视,http://ott.mobaibox.com/PLTV/4/224/3221228133/index.m3u8</t>
  </si>
  <si>
    <t>重庆卫视,http://ott.mobaibox.com/PLTV/4/224/3221228651/index.m3u8</t>
  </si>
  <si>
    <t>睛彩青少,http://ott.mobaibox.com/PLTV/4/224/3221228427/index.m3u8</t>
  </si>
  <si>
    <t>睛彩青少,http://ott.mobaibox.com/PLTV/4/224/3221228729/index.m3u8</t>
  </si>
  <si>
    <t>睛彩篮球,http://ott.mobaibox.com/PLTV/4/224/3221228129/index.m3u8</t>
  </si>
  <si>
    <t>睛彩篮球,http://ott.mobaibox.com/PLTV/4/224/3221228234/index.m3u8</t>
  </si>
  <si>
    <t>睛彩篮球-4K,http://ott.mobaibox.com/PLTV/4/224/3221228682/index.m3u8</t>
  </si>
  <si>
    <t>睛彩竞技,http://ott.mobaibox.com/PLTV/4/224/3221228206/index.m3u8</t>
  </si>
  <si>
    <t>睛彩竞技-4K,http://ott.mobaibox.com/PLTV/4/224/3221228679/index.m3u8</t>
  </si>
  <si>
    <t>睛彩广场舞,http://ott.mobaibox.com/PLTV/4/224/3221228231/index.m3u8</t>
  </si>
  <si>
    <t>睛彩广场舞,http://ott.mobaibox.com/PLTV/4/224/3221228818/index.m3u8</t>
  </si>
  <si>
    <t>咪咕体育,http://ott.mobaibox.com/PLTV/4/224/3221228713/index.m3u8</t>
  </si>
  <si>
    <t>咪咕音乐-1,http://ott.mobaibox.com/PLTV/4/224/3221228444/index.m3u8</t>
  </si>
  <si>
    <t>咪咕音乐-2,http://ott.mobaibox.com/PLTV/4/224/3221228794/index.m3u8</t>
  </si>
  <si>
    <t>咪视界-1,http://gslbserv.itv.cmvideo.cn/3000000001000005308/index.m3u8?channel-id=FifastbLive&amp;Contentid=3000000001000005308&amp;livemode=1&amp;stbId=YanG-1989</t>
  </si>
  <si>
    <t>咪视界-2,http://gslbserv.itv.cmvideo.cn/3000000001000005969/index.m3u8?channel-id=FifastbLive&amp;Contentid=3000000001000005969&amp;livemode=1&amp;stbId=YanG-1989</t>
  </si>
  <si>
    <t>咪视界-3,http://gslbserv.itv.cmvideo.cn/3000000001000007218/index.m3u8?channel-id=FifastbLive&amp;Contentid=3000000001000007218&amp;livemode=1&amp;stbId=YanG-1989</t>
  </si>
  <si>
    <t>咪视界-4,http://gslbserv.itv.cmvideo.cn/3000000001000008001/index.m3u8?channel-id=FifastbLive&amp;Contentid=3000000001000008001&amp;livemode=1&amp;stbId=YanG-1989</t>
  </si>
  <si>
    <t>咪视界-5,http://gslbserv.itv.cmvideo.cn/3000000001000008176/index.m3u8?channel-id=FifastbLive&amp;Contentid=3000000001000008176&amp;livemode=1&amp;stbId=YanG-1989</t>
  </si>
  <si>
    <t>咪视界-6,http://gslbserv.itv.cmvideo.cn/3000000001000008379/index.m3u8?channel-id=FifastbLive&amp;Contentid=3000000001000008379&amp;livemode=1&amp;stbId=YanG-1989</t>
  </si>
  <si>
    <t>咪视界-7,http://gslbserv.itv.cmvideo.cn/3000000001000010129/index.m3u8?channel-id=FifastbLive&amp;Contentid=3000000001000010129&amp;livemode=1&amp;stbId=YanG-1989</t>
  </si>
  <si>
    <t>咪视界-8,http://gslbserv.itv.cmvideo.cn/3000000001000010948/index.m3u8?channel-id=FifastbLive&amp;Contentid=3000000001000010948&amp;livemode=1&amp;stbId=YanG-1989</t>
  </si>
  <si>
    <t>咪视界-9,http://gslbserv.itv.cmvideo.cn/3000000001000028638/index.m3u8?channel-id=FifastbLive&amp;Contentid=3000000001000028638&amp;livemode=1&amp;stbId=YanG-1989</t>
  </si>
  <si>
    <t>咪视界-10,http://gslbserv.itv.cmvideo.cn/3000000001000031494/index.m3u8?channel-id=FifastbLive&amp;Contentid=3000000001000031494&amp;livemode=1&amp;stbId=YanG-1989</t>
  </si>
  <si>
    <t>咪视界-11,http://gslbserv.itv.cmvideo.cn/3000000010000000097/index.m3u8?channel-id=FifastbLive&amp;Contentid=3000000010000000097&amp;livemode=1&amp;stbId=YanG-1989</t>
  </si>
  <si>
    <t>咪视界-12,http://gslbserv.itv.cmvideo.cn/3000000010000002019/index.m3u8?channel-id=FifastbLive&amp;Contentid=3000000010000002019&amp;livemode=1&amp;stbId=YanG-1989</t>
  </si>
  <si>
    <t>咪视界-13,http://gslbserv.itv.cmvideo.cn/3000000010000002809/index.m3u8?channel-id=FifastbLive&amp;Contentid=3000000010000002809&amp;livemode=1&amp;stbId=YanG-1989</t>
  </si>
  <si>
    <t>咪视界-14,http://gslbserv.itv.cmvideo.cn/3000000010000003915/index.m3u8?channel-id=FifastbLive&amp;Contentid=3000000010000003915&amp;livemode=1&amp;stbId=YanG-1989</t>
  </si>
  <si>
    <t>咪视界-15,http://gslbserv.itv.cmvideo.cn/3000000010000004193/index.m3u8?channel-id=FifastbLive&amp;Contentid=3000000010000004193&amp;livemode=1&amp;stbId=YanG-1989</t>
  </si>
  <si>
    <t>咪视界-16,http://gslbserv.itv.cmvideo.cn/3000000010000005837/index.m3u8?channel-id=FifastbLive&amp;Contentid=3000000010000005837&amp;livemode=1&amp;stbId=YanG-1989</t>
  </si>
  <si>
    <t>咪视界-17,http://gslbserv.itv.cmvideo.cn/3000000010000006077/index.m3u8?channel-id=FifastbLive&amp;Contentid=3000000010000006077&amp;livemode=1&amp;stbId=YanG-1989</t>
  </si>
  <si>
    <t>咪视界-18,http://gslbserv.itv.cmvideo.cn/3000000010000006658/index.m3u8?channel-id=FifastbLive&amp;Contentid=3000000010000006658&amp;livemode=1&amp;stbId=YanG-1989</t>
  </si>
  <si>
    <t>咪视界-19,http://gslbserv.itv.cmvideo.cn/3000000010000009788/index.m3u8?channel-id=FifastbLive&amp;Contentid=3000000010000009788&amp;livemode=1&amp;stbId=YanG-1989</t>
  </si>
  <si>
    <t>咪视界-20,http://gslbserv.itv.cmvideo.cn/3000000010000010833/index.m3u8?channel-id=FifastbLive&amp;Contentid=3000000010000010833&amp;livemode=1&amp;stbId=YanG-1989</t>
  </si>
  <si>
    <t>咪视界-21,http://gslbserv.itv.cmvideo.cn/3000000010000011297/index.m3u8?channel-id=FifastbLive&amp;Contentid=3000000010000011297&amp;livemode=1&amp;stbId=YanG-1989</t>
  </si>
  <si>
    <t>咪视界-23,http://gslbserv.itv.cmvideo.cn/3000000010000012558/index.m3u8?channel-id=FifastbLive&amp;Contentid=3000000010000012558&amp;livemode=1&amp;stbId=YanG-1989</t>
  </si>
  <si>
    <t>咪视界-24,http://gslbserv.itv.cmvideo.cn/3000000010000012616/index.m3u8?channel-id=FifastbLive&amp;Contentid=3000000010000012616&amp;livemode=1&amp;stbId=YanG-1989</t>
  </si>
  <si>
    <t>咪视界-26,http://gslbserv.itv.cmvideo.cn/3000000010000015560/index.m3u8?channel-id=FifastbLive&amp;Contentid=3000000010000015560&amp;livemode=1&amp;stbId=YanG-1989</t>
  </si>
  <si>
    <t>咪视界-28,http://gslbserv.itv.cmvideo.cn/3000000010000019839/index.m3u8?channel-id=FifastbLive&amp;Contentid=3000000010000019839&amp;livemode=1&amp;stbId=YanG-1989</t>
  </si>
  <si>
    <t>咪视界-29,http://gslbserv.itv.cmvideo.cn/3000000010000021904/index.m3u8?channel-id=FifastbLive&amp;Contentid=3000000010000021904&amp;livemode=1&amp;stbId=YanG-1989</t>
  </si>
  <si>
    <t>咪视界-30,http://gslbserv.itv.cmvideo.cn/3000000010000023434/index.m3u8?channel-id=FifastbLive&amp;Contentid=3000000010000023434&amp;livemode=1&amp;stbId=YanG-1989</t>
  </si>
  <si>
    <t>咪视界-31,http://gslbserv.itv.cmvideo.cn/3000000010000025380/index.m3u8?channel-id=FifastbLive&amp;Contentid=3000000010000025380&amp;livemode=1&amp;stbId=YanG-1989</t>
  </si>
  <si>
    <t>咪视界-32,http://gslbserv.itv.cmvideo.cn/3000000010000027691/index.m3u8?channel-id=FifastbLive&amp;Contentid=3000000010000027691&amp;livemode=1&amp;stbId=YanG-1989</t>
  </si>
  <si>
    <t>咪视界-33,http://gslbserv.itv.cmvideo.cn/3000000010000031669/index.m3u8?channel-id=FifastbLive&amp;Contentid=3000000010000031669&amp;livemode=1&amp;stbId=YanG-1989</t>
  </si>
  <si>
    <t>咪视界4K,http://gslbserv.itv.cmvideo.cn/3000000010000005180/index.m3u8?channel-id=FifastbLive&amp;Contentid=3000000010000005180&amp;livemode=1&amp;stbId=YanG-1989</t>
  </si>
  <si>
    <t>至臻世界-4K,http://gslbserv.itv.cmvideo.cn/3000000010000015686/index.m3u8?channel-id=FifastbLive&amp;Contentid=3000000010000015686&amp;livemode=1&amp;stbId=3</t>
  </si>
  <si>
    <t>苏超电视墙-7896,http://ott.mobaibox.com/PLTV/4/224/3221227896/index.m3u8</t>
  </si>
  <si>
    <t>苏超-8735,http://ott.mobaibox.com/PLTV/4/224/3221228735/index.m3u8</t>
  </si>
  <si>
    <t>苏超-8738,http://ott.mobaibox.com/PLTV/4/224/3221228738/index.m3u8</t>
  </si>
  <si>
    <t>苏超-8741,http://ott.mobaibox.com/PLTV/4/224/3221228741/index.m3u8</t>
  </si>
  <si>
    <t>苏超-8747,http://ott.mobaibox.com/PLTV/4/224/3221228747/index.m3u8</t>
  </si>
  <si>
    <t>苏超-8750,http://ott.mobaibox.com/PLTV/4/224/3221228750/index.m3u8</t>
  </si>
  <si>
    <t>苏超-8803,http://ott.mobaibox.com/PLTV/4/224/3221228803/index.m3u8</t>
  </si>
  <si>
    <t>咪咕视频,http://ott.mobaibox.com/PLTV/4/224/3221228193/index.m3u8</t>
  </si>
  <si>
    <t>中国功夫,http://ott.mobaibox.com/PLTV/4/224/3221227530/index.m3u8</t>
  </si>
  <si>
    <t>潮妈辣婆,http://ott.mobaibox.com/PLTV/4/224/3221227527/index.m3u8</t>
  </si>
  <si>
    <t>惊悚悬疑,http://ott.mobaibox.com/PLTV/4/224/3221227536/index.m3u8</t>
  </si>
  <si>
    <t>炫舞未来,http://ott.mobaibox.com/PLTV/4/224/3221227475/index.m3u8</t>
  </si>
  <si>
    <t>金牌综艺,http://ott.mobaibox.com/PLTV/4/224/3221227541/index.m3u8</t>
  </si>
  <si>
    <t>古装剧场,http://ott.mobaibox.com/PLTV/4/224/3221227542/index.m3u8</t>
  </si>
  <si>
    <t>军事评论,http://ott.mobaibox.com/PLTV/4/224/3221227544/index.m3u8</t>
  </si>
  <si>
    <t>爱情喜剧,http://ott.mobaibox.com/PLTV/4/224/3221227548/index.m3u8</t>
  </si>
  <si>
    <t>农业致富,http://ott.mobaibox.com/PLTV/4/224/3221227588/index.m3u8</t>
  </si>
  <si>
    <t>动作电影,http://ott.mobaibox.com/PLTV/4/224/3221227606/index.m3u8</t>
  </si>
  <si>
    <t>军旅剧场,http://ott.mobaibox.com/PLTV/4/224/3221227603/index.m3u8</t>
  </si>
  <si>
    <t>家庭剧场,http://ott.mobaibox.com/PLTV/4/224/3221227600/index.m3u8</t>
  </si>
  <si>
    <t>明星大片,http://ott.mobaibox.com/PLTV/4/224/3221227594/index.m3u8</t>
  </si>
  <si>
    <t>精品体育,http://ott.mobaibox.com/PLTV/4/224/3221227615/index.m3u8</t>
  </si>
  <si>
    <t>精品大剧,http://ott.mobaibox.com/PLTV/4/224/3221227618/index.m3u8</t>
  </si>
  <si>
    <t>精品纪录,http://ott.mobaibox.com/PLTV/4/224/3221227547/index.m3u8</t>
  </si>
  <si>
    <t>精品萌宠,http://ott.mobaibox.com/PLTV/4/224/3221228430/index.m3u8</t>
  </si>
  <si>
    <t>怡伴健康,http://ott.mobaibox.com/PLTV/4/224/3221227612/index.m3u8</t>
  </si>
  <si>
    <t>海外剧场,http://ott.mobaibox.com/PLTV/4/224/3221227539/index.m3u8</t>
  </si>
  <si>
    <t>热播精选,http://ott.mobaibox.com/PLTV/4/224/3221227512/index.m3u8</t>
  </si>
  <si>
    <t>南通新闻综合,http://ott.mobaibox.com/PLTV/4/224/3221228462/index.m3u8</t>
  </si>
  <si>
    <t>南通-2,http://ott.mobaibox.com/PLTV/4/224/3221228448/index.m3u8</t>
  </si>
  <si>
    <t>崇川公共,http://ott.mobaibox.com/PLTV/4/224/3221228451/index.m3u8</t>
  </si>
  <si>
    <t>如东新闻,http://rudong-tv-hls.cm.jstv.com/rudong-tv/rdxwzh.m3u8</t>
  </si>
  <si>
    <t>江苏影视,http://ott.mobaibox.com/PLTV/4/224/3221228728/index.m3u8</t>
  </si>
  <si>
    <t>江苏综艺,http://ott.mobaibox.com/PLTV/4/224/3221225931/index.m3u8</t>
  </si>
  <si>
    <t>江苏综艺,http://ott.mobaibox.com/PLTV/4/224/3221228731/index.m3u8</t>
  </si>
  <si>
    <t>江苏城市,http://ott.mobaibox.com/PLTV/4/224/3221225929/index.m3u8</t>
  </si>
  <si>
    <t>江苏城市,http://ott.mobaibox.com/PLTV/4/224/3221228734/index.m3u8</t>
  </si>
  <si>
    <t>江苏新闻,http://ott.mobaibox.com/PLTV/4/224/3221228743/index.m3u8</t>
  </si>
  <si>
    <t>江苏新闻,http://ott.mobaibox.com/PLTV/4/224/3221225925/index.m3u8</t>
  </si>
  <si>
    <t>江苏教育,http://ott.mobaibox.com/PLTV/4/224/3221228613/index.m3u8</t>
  </si>
  <si>
    <t>江苏体育,http://ott.mobaibox.com/PLTV/4/224/3221225935/index.m3u8</t>
  </si>
  <si>
    <t>江苏体育,http://ott.mobaibox.com/PLTV/4/224/3221228746/index.m3u8</t>
  </si>
  <si>
    <t>南京新闻综合,http://ott.mobaibox.com/PLTV/4/224/3221227213/index.m3u8</t>
  </si>
  <si>
    <t>南京文旅记录,http://ott.mobaibox.com/PLTV/4/224/3221227722/index.m3u8</t>
  </si>
  <si>
    <t>南京影视,http://ott.mobaibox.com/PLTV/4/224/3221227719/index.m3u8</t>
  </si>
  <si>
    <t>南京十八,http://ott.mobaibox.com/PLTV/4/224/3221227178/index.m3u8</t>
  </si>
  <si>
    <t>南京教科,http://ott.mobaibox.com/PLTV/4/224/3221227194/index.m3u8</t>
  </si>
  <si>
    <t>南京少儿,http://ott.mobaibox.com/PLTV/4/224/3221227733/index.m3u8</t>
  </si>
  <si>
    <t>昆山新闻综合,http://ott.mobaibox.com/PLTV/4/224/3221228820/index.m3u8</t>
  </si>
  <si>
    <t>无锡新闻综合,http://ott.mobaibox.com/PLTV/4/224/3221228103/index.m3u8</t>
  </si>
  <si>
    <t>无锡新闻综合,http://ott.mobaibox.com/PLTV/4/224/3221228853/index.m3u8</t>
  </si>
  <si>
    <t>无锡都市资讯,http://ott.mobaibox.com/PLTV/4/224/3221228914/index.m3u8</t>
  </si>
  <si>
    <t>常州新闻综合,http://ott.mobaibox.com/PLTV/4/224/3221227752/index.m3u8</t>
  </si>
  <si>
    <t>常州新闻综合,http://ott.mobaibox.com/PLTV/4/224/3221227899/index.m3u8</t>
  </si>
  <si>
    <t>常州都市,http://ott.mobaibox.com/PLTV/4/224/3221227755/index.m3u8</t>
  </si>
  <si>
    <t>常州都市,http://ott.mobaibox.com/PLTV/4/224/3221227955/index.m3u8</t>
  </si>
  <si>
    <t>常州生活,http://ott.mobaibox.com/PLTV/4/224/3221227816/index.m3u8</t>
  </si>
  <si>
    <t>常州生活,http://ott.mobaibox.com/PLTV/4/224/3221227902/index.m3u8</t>
  </si>
  <si>
    <t>金坛,http://ott.mobaibox.com/PLTV/4/224/3221228846/index.m3u8</t>
  </si>
  <si>
    <t>盐城-1,http://ott.mobaibox.com/PLTV/4/224/3221228435/index.m3u8</t>
  </si>
  <si>
    <t>盐城-2,http://ott.mobaibox.com/PLTV/4/224/3221228433/index.m3u8</t>
  </si>
  <si>
    <t>盐城-3,http://ott.mobaibox.com/PLTV/4/224/3221228436/index.m3u8</t>
  </si>
  <si>
    <t>大丰新闻,http://dafeng-tv-hls.cm.jstv.com/dafeng-tv/dafengyt.m3u8</t>
  </si>
  <si>
    <t>大丰公共,http://dafeng-tv-hls.cm.jstv.com/dafeng-tv/dafenget.m3u8</t>
  </si>
  <si>
    <t>东台-1,http://dongtai-tv-hls.cm.jstv.com/dongtai-tv/dongtaizonghe.m3u8</t>
  </si>
  <si>
    <t>徐州-1,http://ott.mobaibox.com/PLTV/4/224/3221225945/index.m3u8</t>
  </si>
  <si>
    <t>徐州-2,http://ott.mobaibox.com/PLTV/4/224/3221225947/index.m3u8</t>
  </si>
  <si>
    <t>徐州-3,http://ott.mobaibox.com/PLTV/4/224/3221225949/index.m3u8</t>
  </si>
  <si>
    <t>徐州-4,http://ott.mobaibox.com/PLTV/4/224/3221225951/index.m3u8</t>
  </si>
  <si>
    <t>新沂-1,http://ott.mobaibox.com/PLTV/4/224/3221227289/index.m3u8</t>
  </si>
  <si>
    <t>铜山-1,http://ott.mobaibox.com/PLTV/4/224/3221228152/index.m3u8</t>
  </si>
  <si>
    <t>铜山-2,http://ott.mobaibox.com/PLTV/4/224/3221228081/index.m3u8</t>
  </si>
  <si>
    <t>铜山-3,http://ott.mobaibox.com/PLTV/4/224/3221228055/index.m3u8</t>
  </si>
  <si>
    <t>铜山-4,http://ott.mobaibox.com/PLTV/4/224/3221228249/index.m3u8</t>
  </si>
  <si>
    <t>沛县新闻,http://ott.mobaibox.com/PLTV/4/224/3221227678/index.m3u8</t>
  </si>
  <si>
    <t>沛县经济,http://ott.mobaibox.com/PLTV/4/224/3221227611/index.m3u8</t>
  </si>
  <si>
    <t>沛县文艺,http://ott.mobaibox.com/PLTV/4/224/3221227681/index.m3u8</t>
  </si>
  <si>
    <t>睢宁综合,http://ott.mobaibox.com/PLTV/4/224/3221227706/index.m3u8</t>
  </si>
  <si>
    <t>睢宁三农,http://ott.mobaibox.com/PLTV/4/224/3221227709/index.m3u8</t>
  </si>
  <si>
    <t>睢宁资讯,http://ott.mobaibox.com/PLTV/4/224/3221227712/index.m3u8</t>
  </si>
  <si>
    <t>邳州综合,http://ott.mobaibox.com/PLTV/4/224/3221227576/index.m3u8</t>
  </si>
  <si>
    <t>镇江-1,http://ott.mobaibox.com/PLTV/4/224/3221228246/index.m3u8</t>
  </si>
  <si>
    <t>镇江-2,http://ott.mobaibox.com/PLTV/4/224/3221227325/index.m3u8</t>
  </si>
  <si>
    <t>镇江-3,http://ott.mobaibox.com/PLTV/4/224/3221228208/index.m3u8</t>
  </si>
  <si>
    <t>宝应新闻,http://ott.mobaibox.com/PLTV/4/224/3221228007/index.m3u8</t>
  </si>
  <si>
    <t>江都,http://ott.mobaibox.com/PLTV/4/224/3221228323/index.m3u8</t>
  </si>
  <si>
    <t>泰州-1,http://ott.mobaibox.com/PLTV/4/224/3221228209/index.m3u8</t>
  </si>
  <si>
    <t>泰州-2,http://ott.mobaibox.com/PLTV/4/224/3221228212/index.m3u8</t>
  </si>
  <si>
    <t>泰州-3,http://ott.mobaibox.com/PLTV/4/224/3221228100/index.m3u8</t>
  </si>
  <si>
    <t>连云港新闻综合,http://ott.mobaibox.com/PLTV/4/224/3221227758/index.m3u8</t>
  </si>
  <si>
    <t>连云港生活,http://ott.mobaibox.com/PLTV/4/224/3221227819/index.m3u8</t>
  </si>
  <si>
    <t>东海综合,http://ott.mobaibox.com/PLTV/4/224/3221227792/index.m3u8</t>
  </si>
  <si>
    <t>东海文娱,http://ott.mobaibox.com/PLTV/4/224/3221227739/index.m3u8</t>
  </si>
  <si>
    <t>赣榆,http://ott.mobaibox.com/PLTV/4/224/3221228317/index.m3u8</t>
  </si>
  <si>
    <t>淮安综合,http://ott.mobaibox.com/PLTV/4/224/3221228215/index.m3u8</t>
  </si>
  <si>
    <t>淮安综合,http://ott.mobaibox.com/PLTV/4/224/3221228834/index.m3u8</t>
  </si>
  <si>
    <t>淮安影视,http://ott.mobaibox.com/PLTV/4/224/3221228837/index.m3u8</t>
  </si>
  <si>
    <t>淮安公共,http://ott.mobaibox.com/PLTV/4/224/3221228840/index.m3u8</t>
  </si>
  <si>
    <t>盱眙综合,http://ott.mobaibox.com/PLTV/4/224/3221228847/index.m3u8</t>
  </si>
  <si>
    <t>涟水综合,http://lianshui-tv-hls.cm.jstv.com/lianshui-tv/lsxw.m3u8</t>
  </si>
  <si>
    <t>金湖综合,http://jinhu-tv-hls.cm.jstv.com/jinhu-tv/jinhuzh.m3u8</t>
  </si>
  <si>
    <t>宿迁公共,http://ott.mobaibox.com/PLTV/4/224/3221226939/index.m3u8</t>
  </si>
  <si>
    <t>宿迁综合,http://ott.mobaibox.com/PLTV/4/224/3221226944/index.m3u8</t>
  </si>
  <si>
    <t>沭阳综合,http://ott.mobaibox.com/PLTV/4/224/3221228812/index.m3u8</t>
  </si>
  <si>
    <t>天元围棋,http://ott.mobaibox.com/PLTV/4/224/3221228513/index.m3u8</t>
  </si>
  <si>
    <t>音乐-8815,http://ott.mobaibox.com/PLTV/4/224/3221228815/index.m3u8</t>
  </si>
  <si>
    <t>音乐-8592,http://ott.mobaibox.com/PLTV/4/224/3221228592/index.m3u8</t>
  </si>
  <si>
    <t>音乐-8641,http://ott.mobaibox.com/PLTV/4/224/3221228641/index.m3u8</t>
  </si>
  <si>
    <t>黑莓动画,http://ott.mobaibox.com/PLTV/4/224/3221225555/index.m3u8</t>
  </si>
  <si>
    <t>动画-8456,http://ott.mobaibox.com/PLTV/4/224/3221228456/index.m3u8</t>
  </si>
  <si>
    <t>动画-8460,http://ott.mobaibox.com/PLTV/4/224/3221228460/index.m3u8</t>
  </si>
  <si>
    <t>动画-8463,http://ott.mobaibox.com/PLTV/4/224/3221228463/index.m3u8</t>
  </si>
  <si>
    <t>动画-8536,http://ott.mobaibox.com/PLTV/4/224/3221228536/index.m3u8</t>
  </si>
  <si>
    <t>动画-8539,http://ott.mobaibox.com/PLTV/4/224/3221228539/index.m3u8</t>
  </si>
  <si>
    <t>动画-8579,http://ott.mobaibox.com/PLTV/4/224/3221228579/index.m3u8</t>
  </si>
  <si>
    <t>动画-8603,http://ott.mobaibox.com/PLTV/4/224/3221228603/index.m3u8</t>
  </si>
  <si>
    <t>亲宝玩具-8638,http://ott.mobaibox.com/PLTV/4/224/3221228638/index.m3u8</t>
  </si>
  <si>
    <t>哒啵赛事,http://ott.mobaibox.com/PLTV/4/224/3221225539/index.m3u8</t>
  </si>
  <si>
    <t>体育-8726,http://ott.mobaibox.com/PLTV/4/224/3221228726/index.m3u8</t>
  </si>
  <si>
    <t>体育-8737,http://ott.mobaibox.com/PLTV/4/224/3221228737/index.m3u8</t>
  </si>
  <si>
    <t>健身-8454,http://ott.mobaibox.com/PLTV/4/224/3221228454/index.m3u8</t>
  </si>
  <si>
    <t>健身-8635,http://ott.mobaibox.com/PLTV/4/224/3221228635/index.m3u8</t>
  </si>
  <si>
    <t>健身-8706,http://ott.mobaibox.com/PLTV/4/224/3221228706/index.m3u8</t>
  </si>
  <si>
    <t>4KUHD-1,http://ott.mobaibox.com/PLTV/4/224/3221227506/index.m3u8</t>
  </si>
  <si>
    <t>4KUHD-2,http://ott.mobaibox.com/PLTV/4/224/3221228242/index.m3u8</t>
  </si>
  <si>
    <t>4K修复,http://ott.mobaibox.com/PLTV/4/224/3221228141/index.m3u8</t>
  </si>
  <si>
    <t>4K演示-8589,http://ott.mobaibox.com/PLTV/4/224/3221228589/index.m3u8</t>
  </si>
  <si>
    <t>黑莓电影,http://ott.mobaibox.com/PLTV/4/224/3221225567/index.m3u8</t>
  </si>
  <si>
    <t>黑莓电影,http://ott.mobaibox.com/PLTV/4/224/3221227520/index.m3u8</t>
  </si>
  <si>
    <t>电影-8685,http://ott.mobaibox.com/PLTV/4/224/3221228685/index.m3u8</t>
  </si>
  <si>
    <t>电影-8714,http://ott.mobaibox.com/PLTV/4/224/3221228714/index.m3u8</t>
  </si>
  <si>
    <t>电影-8740,http://ott.mobaibox.com/PLTV/4/224/3221228740/index.m3u8</t>
  </si>
  <si>
    <t>电视剧-7579,http://ott.mobaibox.com/PLTV/4/224/3221227579/index.m3u8</t>
  </si>
  <si>
    <t>电视剧-8132,http://ott.mobaibox.com/PLTV/4/224/3221228132/index.m3u8</t>
  </si>
  <si>
    <t>电视剧-8441,http://ott.mobaibox.com/PLTV/4/224/3221228441/index.m3u8</t>
  </si>
  <si>
    <t>电视剧-8465,http://ott.mobaibox.com/PLTV/4/224/3221228465/index.m3u8</t>
  </si>
  <si>
    <t>电视剧-8582,http://ott.mobaibox.com/PLTV/4/224/3221228582/index.m3u8</t>
  </si>
  <si>
    <t>电视剧-8595,http://ott.mobaibox.com/PLTV/4/224/3221228595/index.m3u8</t>
  </si>
  <si>
    <t>电视剧-8598,http://ott.mobaibox.com/PLTV/4/224/3221228598/index.m3u8</t>
  </si>
  <si>
    <t>电视剧-8604,http://ott.mobaibox.com/PLTV/4/224/3221228604/index.m3u8</t>
  </si>
  <si>
    <t>电视剧-8607,http://ott.mobaibox.com/PLTV/4/224/3221228607/index.m3u8</t>
  </si>
  <si>
    <t>电视剧-8609,http://ott.mobaibox.com/PLTV/4/224/3221228609/index.m3u8</t>
  </si>
  <si>
    <t>电视剧-8610,http://ott.mobaibox.com/PLTV/4/224/3221228610/index.m3u8</t>
  </si>
  <si>
    <t>电视剧-8615,http://ott.mobaibox.com/PLTV/4/224/3221228615/index.m3u8</t>
  </si>
  <si>
    <t>电视剧-8618,http://ott.mobaibox.com/PLTV/4/224/3221228618/index.m3u8</t>
  </si>
  <si>
    <t>电视剧-8621,http://ott.mobaibox.com/PLTV/4/224/3221228621/index.m3u8</t>
  </si>
  <si>
    <t>电视剧-8624,http://ott.mobaibox.com/PLTV/4/224/3221228624/index.m3u8</t>
  </si>
  <si>
    <t>电视剧-8627,http://ott.mobaibox.com/PLTV/4/224/3221228627/index.m3u8</t>
  </si>
  <si>
    <t>电视剧-8644,http://ott.mobaibox.com/PLTV/4/224/3221228644/index.m3u8</t>
  </si>
  <si>
    <t>电视剧-8663,http://ott.mobaibox.com/PLTV/4/224/3221228663/index.m3u8</t>
  </si>
  <si>
    <t>电视剧-8666,http://ott.mobaibox.com/PLTV/4/224/3221228666/index.m3u8</t>
  </si>
  <si>
    <t>电视剧-8669,http://ott.mobaibox.com/PLTV/4/224/3221228669/index.m3u8</t>
  </si>
  <si>
    <t>电视剧-8676,http://ott.mobaibox.com/PLTV/4/224/3221228676/index.m3u8</t>
  </si>
  <si>
    <t>电视剧-8678,http://ott.mobaibox.com/PLTV/4/224/3221228678/index.m3u8</t>
  </si>
  <si>
    <t>电视剧-8687,http://ott.mobaibox.com/PLTV/4/224/3221228687/index.m3u8</t>
  </si>
  <si>
    <t>电视剧-8690,http://ott.mobaibox.com/PLTV/4/224/3221228690/index.m3u8</t>
  </si>
  <si>
    <t>电视剧-8693,http://ott.mobaibox.com/PLTV/4/224/3221228693/index.m3u8</t>
  </si>
  <si>
    <t>电视剧-8697,http://ott.mobaibox.com/PLTV/4/224/3221228697/index.m3u8</t>
  </si>
  <si>
    <t>电视剧-8699,http://ott.mobaibox.com/PLTV/4/224/3221228699/index.m3u8</t>
  </si>
  <si>
    <t>电视剧-8702,http://ott.mobaibox.com/PLTV/4/224/3221228702/index.m3u8</t>
  </si>
  <si>
    <t>电视剧-8705,http://ott.mobaibox.com/PLTV/4/224/3221228705/index.m3u8</t>
  </si>
  <si>
    <t>电视剧-8710,http://ott.mobaibox.com/PLTV/4/224/3221228710/index.m3u8</t>
  </si>
  <si>
    <t>电视剧-8711,http://ott.mobaibox.com/PLTV/4/224/3221228711/index.m3u8</t>
  </si>
  <si>
    <t>电视剧-8716,http://ott.mobaibox.com/PLTV/4/224/3221228716/index.m3u8</t>
  </si>
  <si>
    <t>电视剧-8719,http://ott.mobaibox.com/PLTV/4/224/3221228719/index.m3u8</t>
  </si>
  <si>
    <t>电视剧-8724,http://ott.mobaibox.com/PLTV/4/224/3221228724/index.m3u8</t>
  </si>
  <si>
    <t>电视剧-8725,http://ott.mobaibox.com/PLTV/4/224/3221228725/index.m3u8</t>
  </si>
  <si>
    <t>电视剧-8756,http://ott.mobaibox.com/PLTV/4/224/3221228756/index.m3u8</t>
  </si>
  <si>
    <t>电视剧-8779,http://ott.mobaibox.com/PLTV/4/224/3221228779/index.m3u8</t>
  </si>
  <si>
    <t>电视剧-8782,http://ott.mobaibox.com/PLTV/4/224/3221228782/index.m3u8</t>
  </si>
  <si>
    <t>电视剧-8785,http://ott.mobaibox.com/PLTV/4/224/3221228785/index.m3u8</t>
  </si>
  <si>
    <t>电视剧-8788,http://ott.mobaibox.com/PLTV/4/224/3221228788/index.m3u8</t>
  </si>
  <si>
    <t>电视剧-8791,http://ott.mobaibox.com/PLTV/4/224/3221228791/index.m3u8</t>
  </si>
  <si>
    <t>电视剧-8797,http://ott.mobaibox.com/PLTV/4/224/3221228797/index.m3u8</t>
  </si>
  <si>
    <t>电视剧-8809,http://ott.mobaibox.com/PLTV/4/224/3221228809/index.m3u8</t>
  </si>
  <si>
    <t>电视剧-8823,http://ott.mobaibox.com/PLTV/4/224/3221228823/index.m3u8</t>
  </si>
  <si>
    <t>电视剧-8893,http://ott.mobaibox.com/PLTV/4/224/3221228893/index.m3u8</t>
  </si>
  <si>
    <t>电视剧-8896,http://ott.mobaibox.com/PLTV/4/224/3221228896/index.m3u8</t>
  </si>
  <si>
    <t>电视剧-8899,http://ott.mobaibox.com/PLTV/4/224/3221228899/index.m3u8</t>
  </si>
  <si>
    <t>电视剧-8911,http://ott.mobaibox.com/PLTV/4/224/3221228911/index.m3u8</t>
  </si>
  <si>
    <t>记录-8559,http://ott.mobaibox.com/PLTV/4/224/3221228559/index.m3u8</t>
  </si>
  <si>
    <t>记录-8562,http://ott.mobaibox.com/PLTV/4/224/3221228562/index.m3u8</t>
  </si>
  <si>
    <t>记录-8588,http://ott.mobaibox.com/PLTV/4/224/3221228588/index.m3u8</t>
  </si>
  <si>
    <t>记录-8700,http://ott.mobaibox.com/PLTV/4/224/3221228700/index.m3u8</t>
  </si>
  <si>
    <t>记录-8717,http://ott.mobaibox.com/PLTV/4/224/3221228717/index.m3u8</t>
  </si>
  <si>
    <t>记录-8723,http://ott.mobaibox.com/PLTV/4/224/3221228723/index.m3u8</t>
  </si>
  <si>
    <t>棋牌-8586,http://ott.mobaibox.com/PLTV/4/224/3221228586/index.m3u8</t>
  </si>
  <si>
    <t>棋牌-8808,http://ott.mobaibox.com/PLTV/4/224/3221228808/index.m3u8</t>
  </si>
  <si>
    <t>戏曲-8673,http://ott.mobaibox.com/PLTV/4/224/3221228673/index.m3u8</t>
  </si>
  <si>
    <t>美妆-8703,http://ott.mobaibox.com/PLTV/4/224/3221228703/index.m3u8</t>
  </si>
  <si>
    <t>农业致富-8720,http://ott.mobaibox.com/PLTV/4/224/3221228720/index.m3u8</t>
  </si>
  <si>
    <t>浙江卫视,http://ali-m-l.cztv.com/channels/lantian/channel001/1080p.m3u8</t>
  </si>
  <si>
    <t>浙江钱江都市,http://ali-m-l.cztv.com/channels/lantian/channel002/1080p.m3u8</t>
  </si>
  <si>
    <t>浙江经视,http://ali-m-l.cztv.com/channels/lantian/channel003/1080p.m3u8</t>
  </si>
  <si>
    <t>浙江教科影视,http://ali-m-l.cztv.com/channels/lantian/channel004/1080p.m3u8</t>
  </si>
  <si>
    <t>浙江民生休闲,http://ali-m-l.cztv.com/channels/lantian/channel006/1080p.m3u8</t>
  </si>
  <si>
    <t>浙江公共新闻,http://ali-m-l.cztv.com/channels/lantian/channel007/1080p.m3u8</t>
  </si>
  <si>
    <t>浙江少儿,http://ali-m-l.cztv.com/channels/lantian/channel008/1080p.m3u8</t>
  </si>
  <si>
    <t>浙江国际,http://ali-m-l.cztv.com/channels/lantian/channel010/1080p.m3u8</t>
  </si>
  <si>
    <t>之江纪录,http://ali-m-l.cztv.com/channels/lantian/channel012/1080p.m3u8</t>
  </si>
  <si>
    <t>8039,http://ott.mobaibox.com/PLTV/4/224/3221228039/index.m3u8</t>
  </si>
  <si>
    <t>8744,http://ott.mobaibox.com/PLTV/4/224/3221228744/index.m3u8</t>
  </si>
  <si>
    <t>7730,http://ott.mobaibox.com/PLTV/4/224/3221227730/index.m3u8</t>
  </si>
  <si>
    <t>7786,http://ott.mobaibox.com/PLTV/4/224/3221227786/index.m3u8</t>
  </si>
  <si>
    <t>7905,http://ott.mobaibox.com/PLTV/4/224/3221227905/index.m3u8</t>
  </si>
  <si>
    <t>8637,http://ott.mobaibox.com/PLTV/4/224/3221228637/index.m3u8</t>
  </si>
  <si>
    <t>8591,http://ott.mobaibox.com/PLTV/4/224/3221228591/index.m3u8</t>
  </si>
  <si>
    <t>8843,http://ott.mobaibox.com/PLTV/4/224/3221228843/index.m3u8</t>
  </si>
  <si>
    <t>南京长江大桥直播,http://ott.mobaibox.com/PLTV/4/224/3221228612/index.m3u8</t>
  </si>
  <si>
    <t>南京夹江大桥直播,http://ott.mobaibox.com/PLTV/4/224/3221228709/index.m3u8</t>
  </si>
  <si>
    <t>购物-5956,http://ott.mobaibox.com/PLTV/4/224/3221225956/index.m3u8</t>
  </si>
  <si>
    <t>购物-7570,http://ott.mobaibox.com/PLTV/4/224/3221227570/index.m3u8</t>
  </si>
  <si>
    <t>购物-8172,http://ott.mobaibox.com/PLTV/4/224/3221228172/index.m3u8</t>
  </si>
  <si>
    <t>购物-8210,http://ott.mobaibox.com/PLTV/4/224/3221228210/index.m3u8</t>
  </si>
  <si>
    <t>购物-8576,http://ott.mobaibox.com/PLTV/4/224/3221228576/index.m3u8</t>
  </si>
  <si>
    <t>购物-8653,http://ott.mobaibox.com/PLTV/4/224/3221228653/index.m3u8</t>
  </si>
  <si>
    <t>购物-8656,http://ott.mobaibox.com/PLTV/4/224/3221228656/index.m3u8</t>
  </si>
  <si>
    <t>购物-8826,http://ott.mobaibox.com/PLTV/4/224/3221228826/index.m3u8</t>
  </si>
  <si>
    <t>购物-8829,http://ott.mobaibox.com/PLTV/4/224/3221228829/index.m3u8</t>
  </si>
  <si>
    <t>购物-8841,http://ott.mobaibox.com/PLTV/4/224/3221228841/index.m3u8</t>
  </si>
  <si>
    <t>购物-8849,http://ott.mobaibox.com/PLTV/4/224/3221228849/index.m3u8</t>
  </si>
  <si>
    <t>购物-8852,http://ott.mobaibox.com/PLTV/4/224/3221228852/index.m3u8</t>
  </si>
  <si>
    <t>购物-8855,http://ott.mobaibox.com/PLTV/4/224/3221228855/index.m3u8</t>
  </si>
  <si>
    <t>购物-8887,http://ott.mobaibox.com/PLTV/4/224/3221228887/index.m3u8</t>
  </si>
  <si>
    <t>茶频道,http://ott.mobaibox.com/PLTV/4/224/3221228917/index.m3u8</t>
  </si>
  <si>
    <t>央广网,http://ott.mobaibox.com/PLTV/4/224/3221228920/index.m3u8</t>
  </si>
  <si>
    <t>央广网-4K,http://ott.mobaibox.com/PLTV/4/224/3221228873/index.m3u8</t>
  </si>
  <si>
    <t>江苏新闻综合广播,http://ott.mobaibox.com/PLTV/4/224/3221227934/index.m3u8</t>
  </si>
  <si>
    <t>江苏交通广播网,http://ott.mobaibox.com/PLTV/4/224/3221227937/index.m3u8</t>
  </si>
  <si>
    <t>金陵之声,http://ott.mobaibox.com/PLTV/4/224/3221227940/index.m3u8</t>
  </si>
  <si>
    <t>江苏经典流行音乐,http://ott.mobaibox.com/PLTV/4/224/3221227943/index.m3u8</t>
  </si>
  <si>
    <t>江苏财经广播,http://ott.mobaibox.com/PLTV/4/224/3221227946/index.m3u8</t>
  </si>
  <si>
    <t>江苏音乐台,http://ott.mobaibox.com/PLTV/4/224/3221227949/index.m3u8</t>
  </si>
  <si>
    <t>江苏健康广播,http://ott.mobaibox.com/PLTV/4/224/3221227952/index.m3u8</t>
  </si>
  <si>
    <t>江苏新闻广播,http://ott.mobaibox.com/PLTV/4/224/3221227984/index.m3u8</t>
  </si>
  <si>
    <t>江苏文艺广播,http://ott.mobaibox.com/PLTV/4/224/3221227987/index.m3u8</t>
  </si>
  <si>
    <t>江苏故事广播,http://ott.mobaibox.com/PLTV/4/224/3221227990/index.m3u8</t>
  </si>
  <si>
    <t>广播-8505,http://ott.mobaibox.com/PLTV/4/224/3221228505/index.m3u8</t>
  </si>
  <si>
    <t>广播-8508,http://ott.mobaibox.com/PLTV/4/224/3221228508/index.m3u8</t>
  </si>
  <si>
    <t>广播-8511,http://ott.mobaibox.com/PLTV/4/224/3221228511/index.m3u8</t>
  </si>
  <si>
    <t>广播-8514,http://ott.mobaibox.com/PLTV/4/224/3221228514/index.m3u8</t>
  </si>
  <si>
    <t>广播-8517,http://ott.mobaibox.com/PLTV/4/224/3221228517/index.m3u8</t>
  </si>
  <si>
    <t>广播-8519,http://ott.mobaibox.com/PLTV/4/224/3221228519/index.m3u8</t>
  </si>
  <si>
    <t>广播-8520,http://ott.mobaibox.com/PLTV/4/224/3221228520/index.m3u8</t>
  </si>
  <si>
    <t>广播-8522,http://ott.mobaibox.com/PLTV/4/224/3221228522/index.m3u8</t>
  </si>
  <si>
    <t>广播-8523,http://ott.mobaibox.com/PLTV/4/224/3221228523/index.m3u8</t>
  </si>
  <si>
    <t>广播-8525,http://ott.mobaibox.com/PLTV/4/224/3221228525/index.m3u8</t>
  </si>
  <si>
    <t>广播-8526,http://ott.mobaibox.com/PLTV/4/224/3221228526/index.m3u8</t>
  </si>
  <si>
    <t>广播-8528,http://ott.mobaibox.com/PLTV/4/224/3221228528/index.m3u8</t>
  </si>
  <si>
    <t>广播-8529,http://ott.mobaibox.com/PLTV/4/224/3221228529/index.m3u8</t>
  </si>
  <si>
    <t>广播-8531,http://ott.mobaibox.com/PLTV/4/224/3221228531/index.m3u8</t>
  </si>
  <si>
    <t>广播-8532,http://ott.mobaibox.com/PLTV/4/224/3221228532/index.m3u8</t>
  </si>
  <si>
    <t>广播-8534,http://ott.mobaibox.com/PLTV/4/224/3221228534/index.m3u8</t>
  </si>
  <si>
    <t>广播-8535,http://ott.mobaibox.com/PLTV/4/224/3221228535/index.m3u8</t>
  </si>
  <si>
    <t>广播-8537,http://ott.mobaibox.com/PLTV/4/224/3221228537/index.m3u8</t>
  </si>
  <si>
    <t>广播-8540,http://ott.mobaibox.com/PLTV/4/224/3221228540/index.m3u8</t>
  </si>
  <si>
    <t>广播-8541,http://ott.mobaibox.com/PLTV/4/224/3221228541/index.m3u8</t>
  </si>
  <si>
    <t>广播-8543,http://ott.mobaibox.com/PLTV/4/224/3221228543/index.m3u8</t>
  </si>
  <si>
    <t>广播-8544,http://ott.mobaibox.com/PLTV/4/224/3221228544/index.m3u8</t>
  </si>
  <si>
    <t>广播-8546,http://ott.mobaibox.com/PLTV/4/224/3221228546/index.m3u8</t>
  </si>
  <si>
    <t>广播-8547,http://ott.mobaibox.com/PLTV/4/224/3221228547/index.m3u8</t>
  </si>
  <si>
    <t>广播-8549,http://ott.mobaibox.com/PLTV/4/224/3221228549/index.m3u8</t>
  </si>
  <si>
    <t>广播-8552,http://ott.mobaibox.com/PLTV/4/224/3221228552/index.m3u8</t>
  </si>
  <si>
    <t>广播-8555,http://ott.mobaibox.com/PLTV/4/224/3221228555/index.m3u8</t>
  </si>
  <si>
    <t>广播-8556,http://ott.mobaibox.com/PLTV/4/224/3221228556/index.m3u8</t>
  </si>
  <si>
    <t>广播-8558,http://ott.mobaibox.com/PLTV/4/224/3221228558/index.m3u8</t>
  </si>
  <si>
    <t>广播-8561,http://ott.mobaibox.com/PLTV/4/224/3221228561/index.m3u8</t>
  </si>
  <si>
    <t>广播-8564,http://ott.mobaibox.com/PLTV/4/224/3221228564/index.m3u8</t>
  </si>
  <si>
    <t>广播-8567,http://ott.mobaibox.com/PLTV/4/224/3221228567/index.m3u8</t>
  </si>
  <si>
    <t>广播-8570,http://ott.mobaibox.com/PLTV/4/224/3221228570/index.m3u8</t>
  </si>
  <si>
    <t>广播-8587,http://ott.mobaibox.com/PLTV/4/224/3221228587/index.m3u8</t>
  </si>
  <si>
    <t>广播-8590,http://ott.mobaibox.com/PLTV/4/224/3221228590/index.m3u8</t>
  </si>
  <si>
    <t>广播-8593,http://ott.mobaibox.com/PLTV/4/224/3221228593/index.m3u8</t>
  </si>
  <si>
    <t>广播-8596,http://ott.mobaibox.com/PLTV/4/224/3221228596/index.m3u8</t>
  </si>
  <si>
    <t>广播-8599,http://ott.mobaibox.com/PLTV/4/224/3221228599/index.m3u8</t>
  </si>
  <si>
    <t>广播-8602,http://ott.mobaibox.com/PLTV/4/224/3221228602/index.m3u8</t>
  </si>
  <si>
    <t>广播-8605,http://ott.mobaibox.com/PLTV/4/224/3221228605/index.m3u8</t>
  </si>
  <si>
    <t>广播-8608,http://ott.mobaibox.com/PLTV/4/224/3221228608/index.m3u8</t>
  </si>
  <si>
    <t>广播-8611,http://ott.mobaibox.com/PLTV/4/224/3221228611/index.m3u8</t>
  </si>
  <si>
    <t>广播-8614,http://ott.mobaibox.com/PLTV/4/224/3221228614/index.m3u8</t>
  </si>
  <si>
    <t>广播-8617,http://ott.mobaibox.com/PLTV/4/224/3221228617/index.m3u8</t>
  </si>
  <si>
    <t>广播-8620,http://ott.mobaibox.com/PLTV/4/224/3221228620/index.m3u8</t>
  </si>
  <si>
    <t>广播-8623,http://ott.mobaibox.com/PLTV/4/224/3221228623/index.m3u8</t>
  </si>
  <si>
    <t>广播-8805,http://ott.mobaibox.com/PLTV/4/224/3221228805/index.m3u8</t>
  </si>
  <si>
    <t>匹配</t>
    <phoneticPr fontId="1" type="noConversion"/>
  </si>
  <si>
    <t>CCTV-1,http://[2409:8087:1e01:20::3]/PLTV/11/224/3221225673/1.m3u8</t>
  </si>
  <si>
    <t>CCTV-1,http://[2409:8087:1e01:20::3]/PLTV/11/224/3221225723/1.m3u8</t>
  </si>
  <si>
    <t>CCTV-1,http://[2409:8087:1e01:20::3]/PLTV/11/224/3221225770/1.m3u8</t>
  </si>
  <si>
    <t>CCTV-1,http://[2409:8087:1e01:20::3]/PLTV/11/224/3221226163/1.m3u8</t>
  </si>
  <si>
    <t>CCTV-2,http://[2409:8087:1e01:20::3]/PLTV/11/224/3221226122/1.m3u8</t>
  </si>
  <si>
    <t>CCTV-3,http://[2409:8087:1e01:20::3]/PLTV/11/224/3221225766/1.m3u8</t>
  </si>
  <si>
    <t>CCTV-3,http://[2409:8087:1e01:20::3]/PLTV/11/224/3221226165/1.m3u8</t>
  </si>
  <si>
    <t>CCTV-4,http://[2409:8087:1e01:20::3]/PLTV/11/224/3221226124/1.m3u8</t>
  </si>
  <si>
    <t>CCTV-5,http://[2409:8087:1e01:20::3]/PLTV/11/224/3221225734/1.m3u8</t>
  </si>
  <si>
    <t>CCTV-5,http://[2409:8087:1e01:20::3]/PLTV/11/224/3221226146/1.m3u8</t>
  </si>
  <si>
    <t>CCTV-6,http://[2409:8087:1e01:20::3]/PLTV/11/224/3221225741/1.m3u8</t>
  </si>
  <si>
    <t>CCTV-6,http://[2409:8087:1e01:20::3]/PLTV/11/224/3221226148/1.m3u8</t>
  </si>
  <si>
    <t>CCTV-7,http://[2409:8087:1e01:20::3]/PLTV/11/224/3221225701/1.m3u8</t>
  </si>
  <si>
    <t>CCTV-7,http://[2409:8087:1e01:20::3]/PLTV/11/224/3221226137/1.m3u8</t>
  </si>
  <si>
    <t>CCTV-7,http://[2409:8087:1e01:20::3]/PLTV/11/224/3221226143/1.m3u8</t>
  </si>
  <si>
    <t>CCTV-8,http://[2409:8087:1e01:20::3]/PLTV/11/224/3221225736/1.m3u8</t>
  </si>
  <si>
    <t>CCTV-8,http://[2409:8087:1e01:20::3]/PLTV/11/224/3221226167/1.m3u8</t>
  </si>
  <si>
    <t>CCTV-10,http://[2409:8087:1e01:20::3]/PLTV/11/224/3221225743/1.m3u8</t>
  </si>
  <si>
    <t>CCTV-10,http://[2409:8087:1e01:20::3]/PLTV/11/224/3221226169/1.m3u8</t>
  </si>
  <si>
    <t>CCTV-11,http://[2409:8087:1e01:20::3]/PLTV/11/224/3221226101/1.m3u8</t>
  </si>
  <si>
    <t>CCTV-11,http://[2409:8087:1e01:20::3]/PLTV/11/224/3221226145/1.m3u8</t>
  </si>
  <si>
    <t>CCTV-12,http://[2409:8087:1e01:20::3]/PLTV/11/224/3221226103/1.m3u8</t>
  </si>
  <si>
    <t>CCTV-12,http://[2409:8087:1e01:20::3]/PLTV/11/224/3221226126/1.m3u8</t>
  </si>
  <si>
    <t>CCTV-13,http://[2409:8087:1e01:20::3]/PLTV/11/224/3221226128/1.m3u8</t>
  </si>
  <si>
    <t>CCTV-14,http://[2409:8087:1e01:20::3]/PLTV/11/224/3221225738/1.m3u8</t>
  </si>
  <si>
    <t>CCTV-14,http://[2409:8087:1e01:20::3]/PLTV/11/224/3221226150/1.m3u8</t>
  </si>
  <si>
    <t>CCTV-15,http://[2409:8087:1e01:20::3]/PLTV/11/224/3221226147/1.m3u8</t>
  </si>
  <si>
    <t>CCTV-16,http://[2409:8087:1e01:20::3]/PLTV/11/224/3221226120/1.m3u8</t>
  </si>
  <si>
    <t>江苏卫视4K,http://ott.mobaibox.com/PLTV/4/224/3221228897/index.m3u8</t>
  </si>
  <si>
    <t>广东卫视4K,http://ikuai.haleeyo.cn:9003/udp/239.77.0.27:5146</t>
  </si>
  <si>
    <t>河北4K,http://event.pull.hebtv.com/live/live101.m3u8</t>
  </si>
  <si>
    <t>CETV-1,http://ott.mobaibox.com/PLTV/4/224/3221225909/index.m3u8</t>
  </si>
  <si>
    <t>江苏卫视,http://[2409:8087:1e01:20::3]/PLTV/11/224/3221225720/1.m3u8</t>
  </si>
  <si>
    <t>黑龙江卫视,http://[2409:8087:1e01:20::3]/PLTV/11/224/3221225722/1.m3u8</t>
  </si>
  <si>
    <t>北京卫视,http://[2409:8087:1e01:20::3]/PLTV/11/224/3221225724/1.m3u8</t>
  </si>
  <si>
    <t>东方卫视,http://[2409:8087:1e01:20::3]/PLTV/11/224/3221225725/1.m3u8</t>
  </si>
  <si>
    <t>东方卫视,http://[2409:8087:1e01:20::3]/PLTV/11/224/3221226106/1.m3u8</t>
  </si>
  <si>
    <t>湖南卫视,http://[2409:8087:1e01:20::3]/PLTV/11/224/3221225726/1.m3u8</t>
  </si>
  <si>
    <t>浙江卫视,http://[2409:8087:1e01:20::3]/PLTV/11/224/3221225727/1.m3u8</t>
  </si>
  <si>
    <t>深圳卫视,http://[2409:8087:1e01:20::3]/PLTV/11/224/3221225728/1.m3u8</t>
  </si>
  <si>
    <t>湖北卫视,http://[2409:8087:1e01:20::3]/PLTV/11/224/3221225729/1.m3u8</t>
  </si>
  <si>
    <t>广东卫视,http://[2409:8087:1e01:20::3]/PLTV/11/224/3221225731/1.m3u8</t>
  </si>
  <si>
    <t>山东卫视,http://[2409:8087:1e01:20::3]/PLTV/11/224/3221225733/1.m3u8</t>
  </si>
  <si>
    <t>安徽卫视,http://[2409:8087:1e01:20::3]/PLTV/11/224/3221225739/1.m3u8</t>
  </si>
  <si>
    <t>江西卫视,http://[2409:8087:1e01:20::3]/PLTV/11/224/3221225740/1.m3u8</t>
  </si>
  <si>
    <t>天津卫视,http://[2409:8087:1e01:20::3]/PLTV/11/224/3221225742/1.m3u8</t>
  </si>
  <si>
    <t>东南卫视,http://[2409:8087:1e01:20::3]/PLTV/11/224/3221225745/1.m3u8</t>
  </si>
  <si>
    <t>辽宁卫视,http://[2409:8087:1e01:20::3]/PLTV/11/224/3221225747/1.m3u8</t>
  </si>
  <si>
    <t>吉林卫视,http://[2409:8087:1e01:20::3]/PLTV/11/224/3221226082/1.m3u8</t>
  </si>
  <si>
    <t>吉林卫视,http://[2409:8087:1e01:20::3]/PLTV/11/224/3221226149/1.m3u8</t>
  </si>
  <si>
    <t>广西卫视,http://[2409:8087:1e01:20::3]/PLTV/11/224/3221226084/1.m3u8</t>
  </si>
  <si>
    <t>广西卫视,http://[2409:8087:1e01:20::3]/PLTV/11/224/3221226130/1.m3u8</t>
  </si>
  <si>
    <t>甘肃卫视,http://[2409:8087:1e01:20::3]/PLTV/11/224/3221226090/1.m3u8</t>
  </si>
  <si>
    <t>青海卫视,http://[2409:8087:1e01:20::3]/PLTV/11/224/3221226105/1.m3u8</t>
  </si>
  <si>
    <t>河北卫视,http://[2409:8087:1e01:20::3]/PLTV/11/224/3221226107/1.m3u8</t>
  </si>
  <si>
    <t>云南卫视,http://[2409:8087:1e01:20::3]/PLTV/11/224/3221226109/1.m3u8</t>
  </si>
  <si>
    <t>云南卫视,http://[2409:8087:1e01:20::3]/PLTV/11/224/3221226151/1.m3u8</t>
  </si>
  <si>
    <t>山西卫视,http://[2409:8087:1e01:20::3]/PLTV/11/224/3221226113/1.m3u8</t>
  </si>
  <si>
    <t>河南卫视,http://[2409:8087:1e01:20::3]/PLTV/11/224/3221226132/1.m3u8</t>
  </si>
  <si>
    <t>四川卫视,http://[2409:8087:1e01:20::3]/PLTV/11/224/3221226152/1.m3u8</t>
  </si>
  <si>
    <t>海南卫视,http://[2409:8087:1e01:20::3]/PLTV/11/224/3221226154/1.m3u8</t>
  </si>
  <si>
    <t>重庆卫视,http://[2409:8087:1e01:20::3]/PLTV/11/224/3221226171/1.m3u8</t>
  </si>
  <si>
    <t>贵州卫视,http://[2409:8087:1e01:20::3]/PLTV/11/224/3221226173/1.m3u8</t>
  </si>
  <si>
    <t>CETV-1,http://[2409:8087:1e01:20::3]/PLTV/11/224/3221225775/1.m3u8</t>
  </si>
  <si>
    <t>CETV-4,http://[2409:8087:1e01:20::3]/PLTV/11/224/3221226153/1.m3u8</t>
  </si>
  <si>
    <t>睛彩竞技,http://[2409:8087:1e01:20::3]/PLTV/11/224/3221226116/1.m3u8</t>
  </si>
  <si>
    <t>睛彩篮球,http://[2409:8087:1e01:20::3]/PLTV/11/224/3221226118/1.m3u8</t>
  </si>
  <si>
    <t>睛彩广场舞,http://[2409:8087:1e01:20::3]/PLTV/11/224/3221226139/1.m3u8</t>
  </si>
  <si>
    <t>苏超-8850,http://ott.mobaibox.com/PLTV/4/224/3221228850/index.m3u8</t>
  </si>
  <si>
    <t>苏超-8864,http://ott.mobaibox.com/PLTV/4/224/3221228864/index.m3u8</t>
  </si>
  <si>
    <t>苏超-8867,http://ott.mobaibox.com/PLTV/4/224/3221228867/index.m3u8</t>
  </si>
  <si>
    <t>苏超-8902,http://ott.mobaibox.com/PLTV/4/224/3221228902/index.m3u8</t>
  </si>
  <si>
    <t>苏超-8905,http://ott.mobaibox.com/PLTV/4/224/3221228905/index.m3u8</t>
  </si>
  <si>
    <t>苏超-8908,http://ott.mobaibox.com/PLTV/4/224/3221228908/index.m3u8</t>
  </si>
  <si>
    <t>咪视界-1,http://[2409:8087:1e01:20::3]/PLTV/11/224/3221225636/1.m3u8</t>
  </si>
  <si>
    <t>咪视界-2,http://[2409:8087:1e01:20::3]/PLTV/11/224/3221225637/1.m3u8</t>
  </si>
  <si>
    <t>咪视界-3,http://[2409:8087:1e01:20::3]/PLTV/11/224/3221225638/1.m3u8</t>
  </si>
  <si>
    <t>咪视界-4,http://[2409:8087:1e01:20::3]/PLTV/11/224/3221225639/1.m3u8</t>
  </si>
  <si>
    <t>咪视界-5,http://[2409:8087:1e01:20::3]/PLTV/11/224/3221225640/1.m3u8</t>
  </si>
  <si>
    <t>咪视界-6,http://[2409:8087:1e01:20::3]/PLTV/11/224/3221225641/1.m3u8</t>
  </si>
  <si>
    <t>咪视界-7,http://[2409:8087:1e01:20::3]/PLTV/11/224/3221225643/1.m3u8</t>
  </si>
  <si>
    <t>咪视界-8,http://[2409:8087:1e01:20::3]/PLTV/11/224/3221225644/1.m3u8</t>
  </si>
  <si>
    <t>咪视界-9,http://[2409:8087:1e01:20::3]/PLTV/11/224/3221225646/1.m3u8</t>
  </si>
  <si>
    <t>咪视界-10,http://[2409:8087:1e01:20::3]/PLTV/11/224/3221225657/1.m3u8</t>
  </si>
  <si>
    <t>咪视界-11,http://[2409:8087:1e01:20::3]/PLTV/11/224/3221225674/1.m3u8</t>
  </si>
  <si>
    <t>咪视界-12,http://[2409:8087:1e01:20::3]/PLTV/11/224/3221225676/1.m3u8</t>
  </si>
  <si>
    <t>咪视界-13,http://[2409:8087:1e01:20::3]/PLTV/11/224/3221225678/1.m3u8</t>
  </si>
  <si>
    <t>咪视界-14,http://[2409:8087:1e01:20::3]/PLTV/11/224/3221225679/1.m3u8</t>
  </si>
  <si>
    <t>咪视界-15,http://[2409:8087:1e01:20::3]/PLTV/11/224/3221225680/1.m3u8</t>
  </si>
  <si>
    <t>咪视界-16,http://[2409:8087:1e01:20::3]/PLTV/11/224/3221225681/1.m3u8</t>
  </si>
  <si>
    <t>咪视界-17,http://[2409:8087:1e01:20::3]/PLTV/11/224/3221225682/1.m3u8</t>
  </si>
  <si>
    <t>咪视界-18,http://[2409:8087:1e01:20::3]/PLTV/11/224/3221225683/1.m3u8</t>
  </si>
  <si>
    <t>咪视界-19,http://[2409:8087:1e01:20::3]/PLTV/11/224/3221225684/1.m3u8</t>
  </si>
  <si>
    <t>咪视界-20,http://[2409:8087:1e01:20::3]/PLTV/11/224/3221225685/1.m3u8</t>
  </si>
  <si>
    <t>咪视界-21,http://[2409:8087:1e01:20::3]/PLTV/11/224/3221225686/1.m3u8</t>
  </si>
  <si>
    <t>咪视界-22,http://[2409:8087:1e01:20::3]/PLTV/11/224/3221225688/1.m3u8</t>
  </si>
  <si>
    <t>咪视界-23,http://[2409:8087:1e01:20::3]/PLTV/11/224/3221225689/1.m3u8</t>
  </si>
  <si>
    <t>咪视界-24,http://[2409:8087:1e01:20::3]/PLTV/11/224/3221225690/1.m3u8</t>
  </si>
  <si>
    <t>咪视界-25,http://[2409:8087:1e01:20::3]/PLTV/11/224/3221225692/1.m3u8</t>
  </si>
  <si>
    <t>咪视界-26,http://[2409:8087:1e01:20::3]/PLTV/11/224/3221225693/1.m3u8</t>
  </si>
  <si>
    <t>咪视界-27,http://[2409:8087:1e01:20::3]/PLTV/11/224/3221225694/1.m3u8</t>
  </si>
  <si>
    <t>咪视界-28,http://[2409:8087:1e01:20::3]/PLTV/11/224/3221225695/1.m3u8</t>
  </si>
  <si>
    <t>咪视界-29,http://[2409:8087:1e01:20::3]/PLTV/11/224/3221225697/1.m3u8</t>
  </si>
  <si>
    <t>咪视界-30,http://[2409:8087:1e01:20::3]/PLTV/11/224/3221225699/1.m3u8</t>
  </si>
  <si>
    <t>咪视界-31,http://[2409:8087:1e01:20::3]/PLTV/11/224/3221226125/1.m3u8</t>
  </si>
  <si>
    <t>咪视界4K,http://[2409:8087:1e01:20::3]/PLTV/11/224/3221226080/1.m3u8</t>
  </si>
  <si>
    <t>至臻视界-4K,http://[2409:8087:1e01:20::3]/PLTV/11/224/3221225687/1.m3u8</t>
  </si>
  <si>
    <t>苏州新闻综合,http://live-auth.51kandianshi.com/szgd/csztv1.m3u8</t>
  </si>
  <si>
    <t>苏州社会经济,http://live-auth.51kandianshi.com/szgd/csztv2.m3u8</t>
  </si>
  <si>
    <t>苏州文化生活,http://live-auth.51kandianshi.com/szgd/csztv3.m3u8</t>
  </si>
  <si>
    <t>苏州电影娱乐,http://live-auth.51kandianshi.com/szgd/csztv4.m3u8</t>
  </si>
  <si>
    <t>苏州生活资讯,http://live-auth.51kandianshi.com/szgd/csztv5.m3u8</t>
  </si>
  <si>
    <t>苏州4K,http://tylive.kan0512.com/norecord/csztv4k_4k.m3u8</t>
  </si>
  <si>
    <t>高邮-1,http://gaoyou-tv-hls.cm.jstv.com/gaoyou-tv/gaoyouxw.m3u8</t>
  </si>
  <si>
    <t>沭阳综合,http://shuyang-tv-hls.cm.jstv.com/shuyang-tv/shuyangzh.m3u8</t>
  </si>
  <si>
    <t>泗阳综合,http://siyang-tv-hls.cm.jstv.com/siyang-tv/siyangzh.m3u8</t>
  </si>
  <si>
    <t>宿豫综合,http://suyu-tv-hls.cm.jstv.com/suyu-tv/syzhpd.m3u8</t>
  </si>
  <si>
    <t>电视剧-8664,http://ott.mobaibox.com/PLTV/4/224/3221228664/index.m3u8</t>
  </si>
  <si>
    <t>电视剧-8708,http://ott.mobaibox.com/PLTV/4/224/3221228708/index.m3u8</t>
  </si>
  <si>
    <t>内蒙古农牧,http://play1-qk.nmtv.cn/live/1686561299036179.m3u8</t>
  </si>
  <si>
    <t>内蒙古新闻综合,http://play1-qk.nmtv.cn/live/1686560423879174.m3u8</t>
  </si>
  <si>
    <t>内蒙古少儿,http://play1-qk.nmtv.cn/live/1686560464515368.m3u8</t>
  </si>
  <si>
    <t>内蒙古文体娱乐,http://play1-qk.nmtv.cn/live/1686561195713372.m3u8</t>
  </si>
  <si>
    <t>内蒙古经济生活,http://play1-qk.nmtv.cn/live/1686562470947181.m3u8</t>
  </si>
  <si>
    <t>内蒙古蒙语卫视,http://play1-qk.nmtv.cn/live/1686560387346365.m3u8</t>
  </si>
  <si>
    <t>内蒙古蒙语文化,http://play1-qk.nmtv.cn/live/1686561065304370.m3u8</t>
  </si>
  <si>
    <t>金色学堂,http://[2409:8087:1e01:20::3]/PLTV/11/224/3221225748/1.m3u8</t>
  </si>
  <si>
    <t>动漫秀场,http://[2409:8087:1e01:20::3]/PLTV/11/224/3221225764/1.m3u8</t>
  </si>
  <si>
    <t>动漫秀场,http://[2409:8087:1e01:20::3]/PLTV/11/224/3221226138/1.m3u8</t>
  </si>
  <si>
    <t>生活时尚,http://[2409:8087:1e01:20::3]/PLTV/11/224/3221225768/1.m3u8</t>
  </si>
  <si>
    <t>哈哈炫动,http://[2409:8087:1e01:20::3]/PLTV/11/224/3221226161/1.m3u8</t>
  </si>
  <si>
    <t>哈哈炫动,http://[2409:8087:1e01:20::3]/PLTV/11/224/3221226175/1.m3u8</t>
  </si>
  <si>
    <t>卡酷少儿,http://[2409:8087:1e01:20::3]/PLTV/11/224/3221226019/1.m3u8</t>
  </si>
  <si>
    <t>金鹰卡通,http://[2409:8087:1e01:20::3]/PLTV/11/224/3221226094/1.m3u8</t>
  </si>
  <si>
    <t>五星体育,http://[2409:8087:1e01:20::3]/PLTV/11/224/3221225732/1.m3u8</t>
  </si>
  <si>
    <t>第一财经,http://[2409:8087:1e01:20::3]/PLTV/11/224/3221225737/1.m3u8</t>
  </si>
  <si>
    <t>东方影视,http://[2409:8087:1e01:20::3]/PLTV/11/224/3221225744/1.m3u8</t>
  </si>
  <si>
    <t>上海都市,http://[2409:8087:1e01:20::3]/PLTV/11/224/3221225749/1.m3u8</t>
  </si>
  <si>
    <t>city都市剧场,http://[2409:8087:1e01:20::3]/PLTV/11/224/3221225762/1.m3u8</t>
  </si>
  <si>
    <t>city都市剧场,http://[2409:8087:1e01:20::3]/PLTV/11/224/3221226155/1.m3u8</t>
  </si>
  <si>
    <t>欢笑剧场4K,http://[2409:8087:1e01:20::3]/PLTV/11/224/3221225771/1.m3u8</t>
  </si>
  <si>
    <t>法制天地,http://[2409:8087:1e01:20::3]/PLTV/11/224/3221225994/1.m3u8</t>
  </si>
  <si>
    <t>乐游,http://[2409:8087:1e01:20::3]/PLTV/11/224/3221226115/1.m3u8</t>
  </si>
  <si>
    <t>乐游,http://[2409:8087:1e01:20::3]/PLTV/11/224/3221226157/1.m3u8</t>
  </si>
  <si>
    <t>游戏风云,http://[2409:8087:1e01:20::3]/PLTV/11/224/3221226117/1.m3u8</t>
  </si>
  <si>
    <t>游戏风云,http://[2409:8087:1e01:20::3]/PLTV/11/224/3221226140/1.m3u8</t>
  </si>
  <si>
    <t>东方财经,http://[2409:8087:1e01:20::3]/PLTV/11/224/3221226134/1.m3u8</t>
  </si>
  <si>
    <t>新闻综合,http://[2409:8087:1e01:20::3]/PLTV/11/224/3221226136/1.m3u8</t>
  </si>
  <si>
    <t>CCTV1,http://223.110.241.139:6610/gitv/live1/G_CCTV-1-HQ/G_CCTV-1-HQ/</t>
  </si>
  <si>
    <t>CCTV2,http://223.110.241.139:6610/gitv/live1/G_CCTV-2-HD/G_CCTV-2-HD/</t>
  </si>
  <si>
    <t>CCTV3,http://223.110.241.139:6610/gitv/live1/G_CCTV-3-HQ/G_CCTV-3-HQ/</t>
  </si>
  <si>
    <t>CCTV4,http://223.110.241.139:6610/gitv/live1/G_CCTV-4-HQ/G_CCTV-4-HQ/</t>
  </si>
  <si>
    <t>CCTV5,http://223.110.241.139:6610/gitv/live1/G_CCTV-5-HQ/G_CCTV-5-HQ/</t>
  </si>
  <si>
    <t>CCTV5+,http://223.110.241.139:6610/gitv/live1/G_CCTV-5PLUS-HQ/G_CCTV-5PLUS-HQ/</t>
  </si>
  <si>
    <t>CCTV6,http://223.110.241.139:6610/gitv/live1/G_CCTV-6-HQ/G_CCTV-6-HQ/</t>
  </si>
  <si>
    <t>CCTV7,http://223.110.241.139:6610/gitv/live1/G_CCTV-7-HQ/G_CCTV-7-HQ/</t>
  </si>
  <si>
    <t>CCTV8,http://223.110.241.139:6610/gitv/live1/G_CCTV-8-HQ/G_CCTV-8-HQ/</t>
  </si>
  <si>
    <t>CCTV9,http://223.110.241.139:6610/gitv/live1/G_CCTV-9-HQ/G_CCTV-9-HQ/</t>
  </si>
  <si>
    <t>CCTV10,http://223.110.241.139:6610/gitv/live1/G_CCTV-10-HQ/G_CCTV-10-HQ/</t>
  </si>
  <si>
    <t>CCTV11,http://223.110.241.139:6610/gitv/live1/G_CCTV-11-HQ/G_CCTV-11-HQ/</t>
  </si>
  <si>
    <t>CCTV12,http://223.110.241.139:6610/gitv/live1/G_CCTV-12-HQ/G_CCTV-12-HQ/</t>
  </si>
  <si>
    <t>CCTV13,http://223.110.241.139:6610/gitv/live1/G_CCTV-13-HQ/G_CCTV-13-HQ/</t>
  </si>
  <si>
    <t>CCTV14,http://223.110.241.139:6610/gitv/live1/G_CCTV-14-HQ/G_CCTV-14-HQ/</t>
  </si>
  <si>
    <t>CCTV15,http://223.110.241.139:6610/gitv/live1/G_CCTV-15-HQ/G_CCTV-15-HQ/</t>
  </si>
  <si>
    <t>CCTV16,http://223.110.241.139:6610/gitv/live1/G_CCTV-16-HQ/G_CCTV-16-HQ/</t>
  </si>
  <si>
    <t>CCTV17,http://223.110.241.139:6610/gitv/live1/G_CCTV-17-HQ/G_CCTV-17-HQ/</t>
  </si>
  <si>
    <t>CCTV4K,http://223.110.241.139:6610/gitv/live1/G_CCTV-4K-HD/G_CCTV-4K-HD/</t>
  </si>
  <si>
    <t>CCTV高尔夫网球,http://223.110.241.139:6610/gitv/live1/G_CCTV-GOLF-CQ/G_CCTV-GOLF-HQ/</t>
  </si>
  <si>
    <t>江苏卫视,http://223.110.241.139:6610/gitv/live1/G_JIANGSU-HQ/G_JIANGSU-HQ/</t>
  </si>
  <si>
    <t>北京卫视,http://223.110.241.139:6610/gitv/live1/G_BEIJING-HQ/G_BEIJING-HQ/</t>
  </si>
  <si>
    <t>北京卫视4K,http://223.110.241.139:6610/gitv/live1/G_BEIJING-4K/G_BEIJING-4K/</t>
  </si>
  <si>
    <t>湖南卫视,http://223.110.241.139:6610/gitv/live1/G_HUNAN-HQ/G_HUNAN-HQ/</t>
  </si>
  <si>
    <t>东方卫视,http://223.110.241.139:6610/gitv/live1/G_DONGFANG-HQ/G_DONGFANG-HQ/</t>
  </si>
  <si>
    <t>浙江卫视,http://223.110.241.139:6610/gitv/live1/G_ZHEJIANG-HQ/G_ZHEJIANG-HQ/</t>
  </si>
  <si>
    <t>广东卫视,http://223.110.241.139:6610/gitv/live1/G_GUANGDONG-HQ/G_GUANGDONG-HQ/</t>
  </si>
  <si>
    <t>天津卫视,http://223.110.241.139:6610/gitv/live1/G_TIANJIN-HQ/G_TIANJIN-HQ/</t>
  </si>
  <si>
    <t>深圳卫视,http://223.110.241.139:6610/gitv/live1/G_SHENZHEN-HQ/G_SHENZHEN-HQ/</t>
  </si>
  <si>
    <t>山东卫视,http://223.110.241.139:6610/gitv/live1/G_SHANDONG-HQ/G_SHANDONG-HQ/</t>
  </si>
  <si>
    <t>河南卫视,http://223.110.241.139:6610/gitv/live1/G_HENAN-HQ/G_HENAN-HQ/</t>
  </si>
  <si>
    <t>安徽卫视,http://223.110.241.139:6610/gitv/live1/G_ANHUI-HQ/G_ANHUI-HQ/</t>
  </si>
  <si>
    <t>辽宁卫视,http://223.110.241.139:6610/gitv/live1/G_LIAONING-HQ/G_LIAONING-HQ/</t>
  </si>
  <si>
    <t>东南卫视,http://223.110.241.139:6610/gitv/live1/G_DONGNAN-HQ/G_DONGNAN-HQ/</t>
  </si>
  <si>
    <t>湖北卫视,http://223.110.241.139:6610/gitv/live1/G_HUBEI-HQ/G_HUBEI-HQ/</t>
  </si>
  <si>
    <t>吉林卫视,http://223.110.241.139:6610/gitv/live1/G_JILIN-HQ/G_JILIN-HQ/</t>
  </si>
  <si>
    <t>江西卫视,http://223.110.241.139:6610/gitv/live1/G_JIANGXI-HQ/G_JIANGXI-HQ/</t>
  </si>
  <si>
    <t>黑龙江卫视,http://223.110.241.139:6610/gitv/live1/G_HEILONGJIANG-HQ/G_HEILONGJIANG-HQ/</t>
  </si>
  <si>
    <t>重庆卫视,http://223.110.241.139:6610/gitv/live1/G_CHONGQING-HQ/G_CHONGQING-HQ/</t>
  </si>
  <si>
    <t>四川卫视,http://223.110.241.139:6610/gitv/live1/G_SICHUAN-HQ/G_SICHUAN-HQ/</t>
  </si>
  <si>
    <t>贵州卫视,http://223.110.241.139:6610/gitv/live1/G_GUIZHOU-HQ/G_GUIZHOU-HQ/</t>
  </si>
  <si>
    <t>云南卫视,http://223.110.241.139:6610/gitv/live1/G_YUNNAN-HQ/G_YUNNAN-HQ/</t>
  </si>
  <si>
    <t>河北卫视,http://223.110.241.139:6610/gitv/live1/G_HEBEI-HQ/G_HEBEI-HQ/</t>
  </si>
  <si>
    <t>三沙卫视,http://223.110.241.139:6610/gitv/live1/G_SANSHA-HQ/G_SANSHA-HQ/</t>
  </si>
  <si>
    <t>CCTV1,http://223.110.241.139:6610/gitv/live1/G_CCTV-1-CQ/G_CCTV-1-CQ/</t>
  </si>
  <si>
    <t>CCTV2,http://223.110.241.139:6610/gitv/live1/G_CCTV-2-CQ/G_CCTV-2-CQ/</t>
  </si>
  <si>
    <t>CCTV3,http://223.110.241.139:6610/gitv/live1/G_CCTV-3-CQ/G_CCTV-3-CQ/</t>
  </si>
  <si>
    <t>CCTV4,http://223.110.241.139:6610/gitv/live1/G_CCTV-4-CQ/G_CCTV-4-CQ/</t>
  </si>
  <si>
    <t>CCTV5,http://223.110.241.139:6610/gitv/live1/G_CCTV-5-CQ/G_CCTV-5-CQ/</t>
  </si>
  <si>
    <t>CCTV5+,http://223.110.241.139:6610/gitv/live1/G_CCTV-5PLUS-CQ/G_CCTV-5PLUS-CQ/</t>
  </si>
  <si>
    <t>CCTV6,http://223.110.241.139:6610/gitv/live1/G_CCTV-6-CQ/G_CCTV-6-CQ/</t>
  </si>
  <si>
    <t>CCTV7,http://223.110.241.139:6610/gitv/live1/G_CCTV-7-CQ/G_CCTV-7-CQ/</t>
  </si>
  <si>
    <t>CCTV8,http://223.110.241.139:6610/gitv/live1/G_CCTV-8-CQ/G_CCTV-8-CQ/</t>
  </si>
  <si>
    <t>CCTV9,http://223.110.241.139:6610/gitv/live1/G_CCTV-9-CQ/G_CCTV-9-CQ/</t>
  </si>
  <si>
    <t>CCTV10,http://223.110.241.139:6610/gitv/live1/G_CCTV-10-CQ/G_CCTV-10-CQ/</t>
  </si>
  <si>
    <t>CCTV12,http://223.110.241.139:6610/gitv/live1/G_CCTV-12-CQ/G_CCTV-12-CQ/</t>
  </si>
  <si>
    <t>CCTV13,http://223.110.241.139:6610/gitv/live1/G_CCTV-13-CQ/G_CCTV-13-CQ/</t>
  </si>
  <si>
    <t>CCTV14,http://223.110.241.139:6610/gitv/live1/G_CCTV-14-CQ/G_CCTV-14-CQ/</t>
  </si>
  <si>
    <t>CCTV15,http://223.110.241.139:6610/gitv/live1/G_CCTV-15-CQ/G_CCTV-15-CQ/</t>
  </si>
  <si>
    <t>CCTV16,http://223.110.241.139:6610/gitv/live1/G_CCTV-16-CQ/G_CCTV-16-CQ/</t>
  </si>
  <si>
    <t>CCTV17,http://223.110.241.139:6610/gitv/live1/G_CCTV-17-CQ/G_CCTV-17-CQ/</t>
  </si>
  <si>
    <t>CCTV兵器科技,http://223.110.241.139:6610/gitv/live1/G_BINGQIKJ-CQ/G_BINGQIKJ-CQ/</t>
  </si>
  <si>
    <t>CCTV高尔夫网球,http://223.110.241.139:6610/gitv/live1/G_CCTV-GOLF-CQ/G_CCTV-GOLF-CQ/</t>
  </si>
  <si>
    <t>江苏卫视,http://223.110.241.139:6610/gitv/live1/G_JIANGSU-CQ/G_JIANGSU-CQ/</t>
  </si>
  <si>
    <t>北京卫视,http://223.110.241.139:6610/gitv/live1/G_BEIJING-CQ/G_BEIJING-CQ/</t>
  </si>
  <si>
    <t>湖南卫视,http://223.110.241.139:6610/gitv/live1/G_HUNAN-CQ/G_HUNAN-CQ/</t>
  </si>
  <si>
    <t>东方卫视,http://223.110.241.139:6610/gitv/live1/G_DONGFANG-CQ/G_DONGFANG-CQ/</t>
  </si>
  <si>
    <t>浙江卫视,http://223.110.241.139:6610/gitv/live1/G_ZHEJIANG-CQ/G_ZHEJIANG-CQ/</t>
  </si>
  <si>
    <t>广东卫视,http://223.110.241.139:6610/gitv/live1/G_GUANGDONG-CQ/G_GUANGDONG-CQ/</t>
  </si>
  <si>
    <t>天津卫视,http://223.110.241.139:6610/gitv/live1/G_TIANJIN-CQ/G_TIANJIN-CQ/</t>
  </si>
  <si>
    <t>深圳卫视,http://223.110.241.139:6610/gitv/live1/G_SHENZHEN-CQ/G_SHENZHEN-CQ/</t>
  </si>
  <si>
    <t>山东卫视,http://223.110.241.139:6610/gitv/live1/G_SHANDONG-CQ/G_SHANDONG-CQ/</t>
  </si>
  <si>
    <t>河南卫视,http://223.110.241.139:6610/gitv/live1/G_HENAN-CQ/G_HENAN-CQ/</t>
  </si>
  <si>
    <t>安徽卫视,http://223.110.241.139:6610/gitv/live1/G_ANHUI-CQ/G_ANHUI-CQ/</t>
  </si>
  <si>
    <t>辽宁卫视,http://223.110.241.139:6610/gitv/live1/G_LIAONING-CQ/G_LIAONING-CQ/</t>
  </si>
  <si>
    <t>湖北卫视,http://223.110.241.139:6610/gitv/live1/G_HUBEI-CQ/G_HUBEI-CQ/</t>
  </si>
  <si>
    <t>吉林卫视,http://223.110.241.139:6610/gitv/live1/G_JILIN-CQ/G_JILIN-CQ/</t>
  </si>
  <si>
    <t>江西卫视,http://223.110.241.139:6610/gitv/live1/G_JIANGXI-CQ/G_JIANGXI-CQ/</t>
  </si>
  <si>
    <t>黑龙江卫视,http://223.110.241.139:6610/gitv/live1/G_HEILONGJIANG-CQ/G_HEILONGJIANG-CQ/</t>
  </si>
  <si>
    <t>重庆卫视,http://223.110.241.139:6610/gitv/live1/G_CHONGQING-CQ/G_CHONGQING-CQ/</t>
  </si>
  <si>
    <t>四川卫视,http://223.110.241.139:6610/gitv/live1/G_SICHUAN-CQ/G_SICHUAN-CQ/</t>
  </si>
  <si>
    <t>贵州卫视,http://223.110.241.139:6610/gitv/live1/G_GUIZHOU-CQ/G_GUIZHOU-CQ/</t>
  </si>
  <si>
    <t>河北卫视,http://223.110.241.139:6610/gitv/live1/G_HEBEI-CQ/G_HEBEI-CQ/</t>
  </si>
  <si>
    <t>三沙卫视,http://223.110.241.139:6610/gitv/live1/G_SANSHA-HQ/G_SANSHA-CQ/</t>
  </si>
  <si>
    <t>青海卫视,http://223.110.241.139:6610/gitv/live1/G_QINGHAI/G_QINGHAI/</t>
  </si>
  <si>
    <t>甘肃卫视,http://223.110.241.139:6610/gitv/live1/G_GANSU/G_GANSU/</t>
  </si>
  <si>
    <t>宁夏卫视,http://223.110.241.139:6610/gitv/live1/G_NINGXIA/G_NINGXIA/</t>
  </si>
  <si>
    <t>山西卫视,http://223.110.241.139:6610/gitv/live1/SXWS/SXWS/</t>
  </si>
  <si>
    <t>陕西卫视,http://223.110.241.139:6610/gitv/live1/G_SHANXI/G_SHANXI/</t>
  </si>
  <si>
    <t>西藏卫视,http://223.110.241.139:6610/gitv/live1/G_XIZANG/G_XIZANG/</t>
  </si>
  <si>
    <t>新疆卫视,http://223.110.241.139:6610/gitv/live1/G_XINJIANG/G_XINJIANG/</t>
  </si>
  <si>
    <t>兵团卫视,http://223.110.241.139:6610/gitv/live1/G_BINGTUAN/G_BINGTUAN/</t>
  </si>
  <si>
    <t>内蒙古卫视,http://223.110.241.139:6610/gitv/live1/G_NEIMENGGU/G_NEIMENGGU/</t>
  </si>
  <si>
    <t>厦门卫视,http://223.110.241.139:6610/gitv/live1/G_XIAMEN/G_XIAMEN/</t>
  </si>
  <si>
    <t>农林卫视,http://223.110.241.139:6610/gitv/live1/G_NONGLIN/G_NONGLIN/</t>
  </si>
  <si>
    <t>安多卫视,http://223.110.241.139:6610/gitv/live1/G_ANDUO/G_ANDUO/</t>
  </si>
  <si>
    <t>康巴卫视,http://223.110.241.139:6610/gitv/live1/G_KANGBA/G_KANGBA/</t>
  </si>
  <si>
    <t>延边卫视,http://223.110.241.139:6610/gitv/live1/G_YANBIAN/G_YANBIAN/</t>
  </si>
  <si>
    <t>纪实科教,http://223.110.241.139:6610/gitv/live1/G_BEIJINGJS-CQ/G_BEIJINGJS-CQ/</t>
  </si>
  <si>
    <t>卡酷少儿,http://223.110.241.139:6610/gitv/live1/G_KAKU/G_KAKU/</t>
  </si>
  <si>
    <t>金鹰卡通,http://223.110.241.139:6610/gitv/live1/G_JINYING/G_JINYING/</t>
  </si>
  <si>
    <t>优漫卡通,http://223.110.241.139:6610/gitv/live1/G_YOUMAN/G_YOUMAN/</t>
  </si>
  <si>
    <t>嘉佳卡通,http://223.110.241.139:6610/gitv/live1/G_JIAJIA/G_JIAJIA/</t>
  </si>
  <si>
    <t>CCTV1,http://223.110.241.139:6610/gitv/live1/G_CCTV-1-HD-265-8M/G_CCTV-1-HD-265-8M/</t>
  </si>
  <si>
    <t>CCTV2,http://223.110.241.139:6610/gitv/live1/G_CCTV-2-HD-265-8M/G_CCTV-2-HD-265-8M/</t>
  </si>
  <si>
    <t>CCTV3,http://223.110.241.139:6610/gitv/live1/G_CCTV-3-HD-265-8M/G_CCTV-3-HD-265-8M/</t>
  </si>
  <si>
    <t>CCTV4,http://223.110.241.139:6610/gitv/live1/G_CCTV-4-HD-265-8M/G_CCTV-4-HD-265-8M/</t>
  </si>
  <si>
    <t>CCTV5,http://223.110.241.139:6610/gitv/live1/G_CCTV-5-HD-265-8M/G_CCTV-5-HD-265-8M/</t>
  </si>
  <si>
    <t>CCTV5+,http://223.110.241.139:6610/gitv/live1/G_CCTV-5PLUS-HD-265-8M/G_CCTV-5PLUS-HD-265-8M/</t>
  </si>
  <si>
    <t>CCTV6,http://223.110.241.139:6610/gitv/live1/G_CCTV-6-HD-265-8M/G_CCTV-6-HD-265-8M/</t>
  </si>
  <si>
    <t>CCTV7,http://223.110.241.139:6610/gitv/live1/G_CCTV-7-HD-265-8M/G_CCTV-7-HD-265-8M/</t>
  </si>
  <si>
    <t>CCTV8,http://223.110.241.139:6610/gitv/live1/G_CCTV-8-HD-265-8M/G_CCTV-8-HD-265-8M/</t>
  </si>
  <si>
    <t>CCTV9,http://223.110.241.139:6610/gitv/live1/G_CCTV-9-HD-265-8M/G_CCTV-9-HD-265-8M/</t>
  </si>
  <si>
    <t>CCTV10,http://223.110.241.139:6610/gitv/live1/G_CCTV-10-HD-265-8M/G_CCTV-10-HD-265-8M/</t>
  </si>
  <si>
    <t>CCTV12,http://223.110.241.139:6610/gitv/live1/G_CCTV-12-HD-265-8M/G_CCTV-12-HD-265-8M/</t>
  </si>
  <si>
    <t>CCTV13,http://223.110.241.139:6610/gitv/live1/G_CCTV-13-HD-265-8M/G_CCTV-13-HD-265-8M/</t>
  </si>
  <si>
    <t>CCTV高尔夫网球,http://223.110.241.139:6610/gitv/live1/G_CCTV-GOLF-CQ/G_CCTV-GOLF-HD-265-8M/</t>
  </si>
  <si>
    <t>江苏卫视,http://223.110.241.139:6610/gitv/live1/G_JIANGSU-HD-265-8M/G_JIANGSU-HD-265-8M/</t>
  </si>
  <si>
    <t>北京卫视,http://223.110.241.139:6610/gitv/live1/G_BEIJING-HD-265-8M/G_BEIJING-HD-265-8M/</t>
  </si>
  <si>
    <t>湖南卫视,http://223.110.241.139:6610/gitv/live1/G_HUNAN-HD-265-8M/G_HUNAN-HD-265-8M/</t>
  </si>
  <si>
    <t>东方卫视,http://223.110.241.139:6610/gitv/live1/G_DONGFANG-HD-265-8M/G_DONGFANG-HD-265-8M/</t>
  </si>
  <si>
    <t>浙江卫视,http://223.110.241.139:6610/gitv/live1/G_ZHEJIANG-HD-265-8M/G_ZHEJIANG-HD-265-8M/</t>
  </si>
  <si>
    <t>广东卫视,http://223.110.241.139:6610/gitv/live1/G_GUANGDONG-HD-265-8M/G_GUANGDONG-HD-265-8M/</t>
  </si>
  <si>
    <t>天津卫视,http://223.110.241.139:6610/gitv/live1/G_TIANJIN-HD-265-8M/G_TIANJIN-HD-265-8M/</t>
  </si>
  <si>
    <t>深圳卫视,http://223.110.241.139:6610/gitv/live1/G_SHENZHEN-HD-265-8M/G_SHENZHEN-HD-265-8M/</t>
  </si>
  <si>
    <t>山东卫视,http://223.110.241.139:6610/gitv/live1/G_SHANDONG-HD-265-8M/G_SHANDONG-HD-265-8M/</t>
  </si>
  <si>
    <t>安徽卫视,http://223.110.241.139:6610/gitv/live1/G_ANHUI-HD-265-8M/G_ANHUI-HD-265-8M/</t>
  </si>
  <si>
    <t>辽宁卫视,http://223.110.241.139:6610/gitv/live1/G_LIAONING-HD-265-8M/G_LIAONING-HD-265-8M/</t>
  </si>
  <si>
    <t>湖北卫视,http://223.110.241.139:6610/gitv/live1/G_HUBEI-HD-265-8M/G_HUBEI-HD-265-8M/</t>
  </si>
  <si>
    <t>黑龙江卫视,http://223.110.241.139:6610/gitv/live1/G_HEILONGJIANG-HD-265-8M/G_HEILONGJIANG-HD-265-8M/</t>
  </si>
  <si>
    <t>CCTV1,http://223.110.241.139:6610/gitv/live1/G_CCTV-1-MD/G_CCTV-1-MD/</t>
  </si>
  <si>
    <t>CCTV2,http://223.110.241.139:6610/gitv/live1/G_CCTV-2-MD/G_CCTV-2-MD/</t>
  </si>
  <si>
    <t>CCTV3,http://223.110.241.139:6610/gitv/live1/G_CCTV-3-MD/G_CCTV-3-MD/</t>
  </si>
  <si>
    <t>CCTV4,http://223.110.241.139:6610/gitv/live1/G_CCTV-4-MD/G_CCTV-4-MD/</t>
  </si>
  <si>
    <t>CCTV5,http://223.110.241.139:6610/gitv/live1/G_CCTV-5-MD/G_CCTV-5-MD/</t>
  </si>
  <si>
    <t>CCTV5+,http://223.110.241.139:6610/gitv/live1/G_CCTV-5PLUS-MD/G_CCTV-5PLUS-MD/</t>
  </si>
  <si>
    <t>CCTV6,http://223.110.241.139:6610/gitv/live1/G_CCTV-6-MD/G_CCTV-6-MD/</t>
  </si>
  <si>
    <t>CCTV8,http://223.110.241.139:6610/gitv/live1/G_CCTV-8-MD/G_CCTV-8-MD/</t>
  </si>
  <si>
    <t>CCTV高尔夫网球,http://223.110.241.139:6610/gitv/live1/G_CCTV-GOLF-CQ/G_CCTV-GOLF-MD/</t>
  </si>
  <si>
    <t>北京卫视,http://223.110.241.139:6610/gitv/live1/G_BEIJING-MD/G_BEIJING-MD/</t>
  </si>
  <si>
    <t>湖南卫视,http://223.110.241.139:6610/gitv/live1/G_HUNAN-MD/G_HUNAN-MD/</t>
  </si>
  <si>
    <t>东方卫视,http://223.110.241.139:6610/gitv/live1/G_DONGFANG-MD/G_DONGFANG-MD/</t>
  </si>
  <si>
    <t>广东卫视,http://223.110.241.139:6610/gitv/live1/G_GUANGDONG-MD/G_GUANGDONG-MD/</t>
  </si>
  <si>
    <t>天津卫视,http://223.110.241.139:6610/gitv/live1/G_TIANJIN-MD/G_TIANJIN-MD/</t>
  </si>
  <si>
    <t>山东卫视,http://223.110.241.139:6610/gitv/live1/G_SHANDONG-MD/G_SHANDONG-MD/</t>
  </si>
  <si>
    <t>辽宁卫视,http://223.110.241.139:6610/gitv/live1/G_LIAONING-MD/G_LIAONING-MD/</t>
  </si>
  <si>
    <t>湖北卫视,http://223.110.241.139:6610/gitv/live1/G_HUBEI-MD/G_HUBEI-MD/</t>
  </si>
  <si>
    <t>黑龙江卫视,http://223.110.241.139:6610/gitv/live1/G_HEILONGJIANG-MD/G_HEILONGJIANG-MD/</t>
  </si>
  <si>
    <t>CCTV1,http://223.110.241.204:6610/gitv/live1/G_CCTV-1-HQ/G_CCTV-1-HQ/</t>
  </si>
  <si>
    <t>CCTV1,http://223.110.241.204:6610/gitv/live1/G_CCTV-1-CQ/G_CCTV-1-CQ/</t>
  </si>
  <si>
    <t>CCTV2,http://223.110.241.204:6610/gitv/live1/G_CCTV-2-CQ/G_CCTV-2-CQ/</t>
  </si>
  <si>
    <t>CCTV3,http://223.110.241.204:6610/gitv/live1/G_CCTV-3-HQ/G_CCTV-3-HQ/</t>
  </si>
  <si>
    <t>CCTV3,http://223.110.241.204:6610/gitv/live1/G_CCTV-3-CQ/G_CCTV-3-CQ/</t>
  </si>
  <si>
    <t>CCTV3-4K,http://223.110.255.157:6610/gitv/live1/G_CCTV-3-AVS-4K264/G_CCTV-3-AVS-4K264/1.m3u8</t>
  </si>
  <si>
    <t>CCTV4,http://223.110.241.204:6610/gitv/live1/G_CCTV-4-HQ/G_CCTV-4-HQ/</t>
  </si>
  <si>
    <t>CCTV4,http://223.110.241.204:6610/gitv/live1/G_CCTV-4-CQ/G_CCTV-4-CQ/</t>
  </si>
  <si>
    <t>CCTV5,http://223.110.241.204:6610/gitv/live1/G_CCTV-5-HQ/G_CCTV-5-HQ/</t>
  </si>
  <si>
    <t>CCTV5,http://223.110.241.204:6610/gitv/live1/G_CCTV-5-CQ/G_CCTV-5-CQ/</t>
  </si>
  <si>
    <t>CCTV5,http://223.110.241.204:6610/gitv/live1/CCTV-5/CCTV-5/</t>
  </si>
  <si>
    <t>CCTV5-4K,http://223.110.255.206:6610/gitv/live1/G_CCTV-5-AVS-4K264/G_CCTV-5-AVS-4K264/1.m3u8</t>
  </si>
  <si>
    <t>CCTV5+,http://223.110.241.204:6610/gitv/live1/G_CCTV-5PLUS-HQ/G_CCTV-5PLUS-HQ/</t>
  </si>
  <si>
    <t>CCTV5+,http://223.110.241.204:6610/gitv/live1/G_CCTV-5PLUS-CQ/G_CCTV-5PLUS-CQ/</t>
  </si>
  <si>
    <t>CCTV6,http://223.110.241.204:6610/gitv/live1/G_CCTV-6-CQ/G_CCTV-6-CQ/</t>
  </si>
  <si>
    <t>CCTV8,http://223.110.241.204:6610/gitv/live1/G_CCTV-8-HQ/G_CCTV-8-HQ/</t>
  </si>
  <si>
    <t>CCTV8,http://223.110.241.204:6610/gitv/live1/G_CCTV-8-CQ/G_CCTV-8-CQ/</t>
  </si>
  <si>
    <t>CCTV8,http://223.110.255.207:6610/gitv/live1/G_CCTV-8-AVS-4K264/G_CCTV-8-AVS-4K264/1.m3u8</t>
  </si>
  <si>
    <t>CCTV9,http://223.110.255.155:6610/gitv/live1/G_CCTV-9-HD-265-5M/G_CCTV-9-HD-265-5M/1.m3u8</t>
  </si>
  <si>
    <t>CCTV10,http://223.110.241.204:6610/gitv/live1/G_CCTV-10-HQ/G_CCTV-10-HQ/</t>
  </si>
  <si>
    <t>CCTV11,http://223.110.241.204:6610/gitv/live1/G_CCTV-11-HQ/G_CCTV-11-HQ/</t>
  </si>
  <si>
    <t>CCTV13,http://223.110.241.204:6610/gitv/live1/G_CCTV-13-HQ/G_CCTV-13-HQ/</t>
  </si>
  <si>
    <t>CCTV13,http://223.110.255.142:6610/gitv/live1/G_CCTV-13-HQ/G_CCTV-13-HQ/1.m3u8</t>
  </si>
  <si>
    <t>CCTV第一剧场,http://223.110.255.139:6610/gitv/live1/G_DIYIJC-CQ/G_DIYIJC-CQ/1.m3u8</t>
  </si>
  <si>
    <t>江苏卫视,http://223.110.241.204:6610/gitv/live1/G_JIANGSU-HQ/G_JIANGSU-HQ/</t>
  </si>
  <si>
    <t>江苏卫视,http://223.110.241.204:6610/gitv/live1/G_JIANGSU-CQ/G_JIANGSU-CQ/</t>
  </si>
  <si>
    <t>湖南卫视,http://223.110.241.204:6610/gitv/live1/G_HUNAN-HQ/G_HUNAN-HQ/</t>
  </si>
  <si>
    <t>湖南卫视,http://223.110.241.204:6610/gitv/live1/G_HUNAN-CQ/G_HUNAN-CQ/</t>
  </si>
  <si>
    <t>浙江卫视,http://223.110.241.204:6610/gitv/live1/G_ZHEJIANG-HQ/G_ZHEJIANG-HQ/</t>
  </si>
  <si>
    <t>浙江卫视,http://223.110.241.204:6610/gitv/live1/G_ZHEJIANG-CQ/G_ZHEJIANG-CQ/</t>
  </si>
  <si>
    <t>安徽卫视,http://223.110.241.204:6610/gitv/live1/G_ANHUI-CQ/G_ANHUI-CQ/</t>
  </si>
  <si>
    <t>北京卫视,http://223.110.241.204:6610/gitv/live1/G_BEIJING-HQ/G_BEIJING-HQ/</t>
  </si>
  <si>
    <t>北京卫视,http://223.110.241.204:6610/gitv/live1/G_BEIJING-CQ/G_BEIJING-CQ/</t>
  </si>
  <si>
    <t>东方卫视,http://223.110.241.204:6610/gitv/live1/G_DONGFANG-HQ/G_DONGFANG-HQ/</t>
  </si>
  <si>
    <t>东方卫视,http://223.110.241.204:6610/gitv/live1/G_DONGFANG-CQ/G_DONGFANG-CQ/</t>
  </si>
  <si>
    <t>广东卫视,http://223.110.241.204:6610/gitv/live1/G_GUANGDONG-HQ/G_GUANGDONG-HQ/</t>
  </si>
  <si>
    <t>广东卫视,http://223.110.241.204:6610/gitv/live1/G_GUANGDONG-CQ/G_GUANGDONG-CQ/</t>
  </si>
  <si>
    <t>广西卫视,http://223.110.241.139:6610/gitv/live1/GXWS/GXWS/</t>
  </si>
  <si>
    <t>广西卫视,http://223.110.241.204:6610/gitv/live1/GXWS/GXWS/</t>
  </si>
  <si>
    <t>贵州卫视,http://223.110.255.207:6610/gitv/live1/G_GUIZHOU-CQ/G_GUIZHOU-CQ/1.m3u8</t>
  </si>
  <si>
    <t>河北卫视,http://223.110.255.194:6610/gitv/live1/G_HEBEI-CQ/G_HEBEI-CQ/1.m3u8</t>
  </si>
  <si>
    <t>河南卫视,http://223.110.255.204:6610/gitv/live1/G_HENAN-CQ/G_HENAN-CQ/1.m3u8</t>
  </si>
  <si>
    <t>黑龙江卫视,http://223.110.241.204:6610/gitv/live1/G_HEILONGJIANG-HQ/G_HEILONGJIANG-HQ/</t>
  </si>
  <si>
    <t>黑龙江卫视,http://223.110.241.204:6610/gitv/live1/G_HEILONGJIANG-CQ/G_HEILONGJIANG-CQ/</t>
  </si>
  <si>
    <t>湖北卫视,http://223.110.241.204:6610/gitv/live1/G_HUBEI-HQ/G_HUBEI-HQ/</t>
  </si>
  <si>
    <t>湖北卫视,http://223.110.241.204:6610/gitv/live1/G_HUBEI-CQ/G_HUBEI-CQ/</t>
  </si>
  <si>
    <t>吉林卫视,http://223.110.255.202:6610/gitv/live1/G_JILIN-CQ/G_JILIN-CQ/1.m3u8</t>
  </si>
  <si>
    <t>辽宁卫视,http://223.110.241.204:6610/gitv/live1/G_LIAONING-HQ/G_LIAONING-HQ/</t>
  </si>
  <si>
    <t>辽宁卫视,http://223.110.241.204:6610/gitv/live1/G_LIAONING-CQ/G_LIAONING-CQ/</t>
  </si>
  <si>
    <t>内蒙古卫视,http://223.110.241.204:6610/gitv/live1/G_NEIMENGGU/G_NEIMENGGU/</t>
  </si>
  <si>
    <t>宁夏卫视,http://223.110.241.204:6610/gitv/live1/G_NINGXIA/G_NINGXIA/</t>
  </si>
  <si>
    <t>青海卫视,http://223.110.241.204:6610/gitv/live1/G_QINGHAI/G_QINGHAI/</t>
  </si>
  <si>
    <t>厦门卫视,http://223.110.241.204:6610/gitv/live1/G_XIAMEN/G_XIAMEN/</t>
  </si>
  <si>
    <t>山东卫视,http://223.110.241.204:6610/gitv/live1/G_SHANDONG-HQ/G_SHANDONG-HQ/</t>
  </si>
  <si>
    <t>山东卫视,http://223.110.241.204:6610/gitv/live1/G_SHANDONG-CQ/G_SHANDONG-CQ/</t>
  </si>
  <si>
    <t>山西卫视,http://223.110.241.204:6610/gitv/live1/SXWS/SXWS/</t>
  </si>
  <si>
    <t>陕西卫视,http://223.110.241.204:6610/gitv/live1/G_SHANXI/G_SHANXI/</t>
  </si>
  <si>
    <t>深圳卫视,http://223.110.241.204:6610/gitv/live1/G_SHENZHEN-HQ/G_SHENZHEN-HQ/</t>
  </si>
  <si>
    <t>深圳卫视,http://223.110.241.204:6610/gitv/live1/G_SHENZHEN-CQ/G_SHENZHEN-CQ/</t>
  </si>
  <si>
    <t>四川卫视,http://223.110.255.208:6610/gitv/live1/G_SICHUAN-CQ/G_SICHUAN-CQ/1.m3u8</t>
  </si>
  <si>
    <t>天津卫视,http://223.110.241.204:6610/gitv/live1/G_TIANJIN-HQ/G_TIANJIN-HQ/</t>
  </si>
  <si>
    <t>天津卫视,http://223.110.241.204:6610/gitv/live1/G_TIANJIN-CQ/G_TIANJIN-CQ/</t>
  </si>
  <si>
    <t>新疆卫视,http://223.110.241.204:6610/gitv/live1/G_XINJIANG/G_XINJIANG/</t>
  </si>
  <si>
    <t>CETV-1,http://223.110.241.204:6610/gitv/live1/G_CETV-1/G_CETV-1/</t>
  </si>
  <si>
    <t>CETV-1,http://223.110.241.139:6610/gitv/live1/G_CETV-1/G_CETV-1/</t>
  </si>
  <si>
    <t>江苏城市,http://223.110.241.139:6610/gitv/live1/G_JSCS/G_JSCS/</t>
  </si>
  <si>
    <t>江苏公共,http://223.110.241.139:6610/gitv/live1/G_JSGG/G_JSGG/</t>
  </si>
  <si>
    <t>江苏休闲体育,http://223.110.241.139:6610/gitv/live1/G_JSTY/G_JSTY/</t>
  </si>
  <si>
    <t>江苏综艺,http://223.110.241.139:6610/gitv/live1/G_JSZY/G_JSZY/</t>
  </si>
  <si>
    <t>南京新闻综合,http://223.110.241.139:6610/gitv/live1/G_NJXW/G_NJXW/</t>
  </si>
  <si>
    <t>南京科教,http://223.110.241.139:6610/gitv/live1/G_NJJK/G_NJJK/</t>
  </si>
  <si>
    <t>南京十八,http://223.110.241.139:6610/gitv/live1/G_NJSB/G_NJSB/</t>
  </si>
  <si>
    <t>CCTV1,http://223.110.241.139:6610/cntv/live1/H265-8000k-1080P-cctv1/H265-8000k-1080P-cctv1</t>
  </si>
  <si>
    <t>CCTV2,http://223.110.241.139:6610/cntv/live1/H265-8000k-1080P-cctv2/H265-8000k-1080P-cctv2</t>
  </si>
  <si>
    <t>CCTV3,http://223.110.241.139:6610/cntv/live1/H265-8000k-1080P-cctv3/H265-8000k-1080P-cctv3</t>
  </si>
  <si>
    <t>CCTV4,http://223.110.241.139:6610/cntv/live1/H265-8000k-1080P-cctv4/H265-8000k-1080P-cctv4</t>
  </si>
  <si>
    <t>CCTV5,http://223.110.241.139:6610/cntv/live1/H265-8000k-1080P-cctv5/H265-8000k-1080P-cctv5</t>
  </si>
  <si>
    <t>CCTV6,http://223.110.241.139:6610/cntv/live1/H265-8000k-1080P-cctv6/H265-8000k-1080P-cctv6</t>
  </si>
  <si>
    <t>CCTV8,http://223.110.241.139:6610/cntv/live1/H265-8000k-1080P-cctv8/H265-8000k-1080P-cctv8</t>
  </si>
  <si>
    <t>CCTV13,http://223.110.241.139:6610/cntv/live1/H265-8000k-1080P-cctv13/H265-8000k-1080P-cctv13</t>
  </si>
  <si>
    <t>CCTV16,http://223.110.241.139:6610/cntv/live1/HD-8000k-1080P-cctv16/HD-8000k-1080P-cctv16</t>
  </si>
  <si>
    <t>广东卫视,http://223.110.241.139:6610/cntv/live1/HD-2500k-1080P-guangdongstv/HD-2500k-1080P-guangdongstv</t>
  </si>
  <si>
    <t>天津卫视,http://223.110.241.139:6610/cntv/live1/HD-2500k-1080P-tianjinstv/HD-2500k-1080P-tianjinstv</t>
  </si>
  <si>
    <t>深圳卫视,http://223.110.241.139:6610/cntv/live1/HD-2500k-1080P-shenzhenstv/HD-2500k-1080P-shenzhenstv</t>
  </si>
  <si>
    <t>安徽卫视,http://223.110.254.203:6610/cntv/live1/HD-8000k-1080P-anhuistv/HD-8000k-1080P-anhuistv/</t>
  </si>
  <si>
    <t>辽宁卫视,http://223.110.241.139:6610/cntv/live1/liaoningstv/liaoningstv</t>
  </si>
  <si>
    <t>湖北卫视,http://223.110.241.139:6610/cntv/live1/HD-2500k-1080P-hubeistv/HD-2500k-1080P-hubeistv</t>
  </si>
  <si>
    <t>黑龙江卫视,http://223.110.241.139:6610/cntv/live1/HD-8000k-1080P-heilongjiangstv/HD-2500k-1080P-heilongjiangstv</t>
  </si>
  <si>
    <t>重庆卫视,http://223.110.254.203:6610/cntv/live1/HD-8000k-1080P-chongqingstv/HD-8000k-1080P-chongqingstv</t>
  </si>
  <si>
    <t>海南卫视,http://223.110.254.137:6610/cntv/live1/HD-8000k-1080P-lvyoustv/HD-8000k-1080P-lvyoustv</t>
  </si>
  <si>
    <t>广西卫视,http://223.110.254.137:6610/cntv/live1/HD-8000k-1080P-guangxistv/HD-8000k-1080P-guangxistv</t>
  </si>
  <si>
    <t>动作电影,http://223.110.241.139:6610/cntv/live1/n-dongzuody/n-dongzuody</t>
  </si>
  <si>
    <t>军旅剧场,http://223.110.241.139:6610/cntv/live1/n-junlvjc/n-junlvjc</t>
  </si>
  <si>
    <t>家庭剧场,http://223.110.241.139:6610/cntv/live1/n-jiatingjc/n-jiatingjc</t>
  </si>
  <si>
    <t>热播精选,http://223.110.241.139:6610/cntv/live1/n-xiqumd/n-xiqumd</t>
  </si>
  <si>
    <t>炫舞未来,http://223.110.241.139:6610/cntv/live1/HD-4000k-1080P-xwwl/HD-4000k-1080P-xwwl</t>
  </si>
  <si>
    <t>黑莓电影,http://223.110.241.139:6610/cntv/live1/HD-8000k-1080P-Supermovie/HD-8000k-1080P-Supermovie</t>
  </si>
  <si>
    <t>爱情喜剧,http://223.110.241.139:6610/cntv/live1/n-aiqingxj/n-aiqingxj</t>
  </si>
  <si>
    <t>精品大剧,http://223.110.241.139:6610/cntv/live1/n-jdaju/n-jdaju</t>
  </si>
  <si>
    <t>中国功夫,http://223.110.241.139:6610/cntv/live1/n-gzkongfu/n-gzkongfu</t>
  </si>
  <si>
    <t>金牌综艺,http://223.110.241.139:6610/cntv/live1/n-saishijx/n-saishijx</t>
  </si>
  <si>
    <t>军事评论,http://223.110.241.139:6610/cntv/live1/n-junshipl/n-junshipl</t>
  </si>
  <si>
    <t>农业致富,http://223.110.241.139:6610/cntv/live1/n-nongyezf/n-nongyezf</t>
  </si>
  <si>
    <t>哒啵赛事,http://223.110.241.139:6610/cntv/live1/wmyx/wmyx</t>
  </si>
  <si>
    <t>怡伴健康,http://223.110.241.139:6610/cntv/live1/n-ljiankangyouyue/n-ljiankangyouyue</t>
  </si>
  <si>
    <t>精品体育,http://223.110.241.139:6610/cntv/live1/n-jtiyu/n-jtiyu</t>
  </si>
  <si>
    <t>潮妈辣婆,http://223.110.241.139:6610/cntv/live1/n-cmlapo/n-cmlapo</t>
  </si>
  <si>
    <t>黑莓动画,http://223.110.241.139:6610/cntv/live1/donghuawg/donghuawg</t>
  </si>
  <si>
    <t>睛彩篮球,http://223.110.241.139:6610/cntv/live1/HD-8000k-1080P-miguaoyun1/HD-8000k-1080P-miguaoyun1</t>
  </si>
  <si>
    <t>睛彩竞技,http://223.110.241.139:6610/cntv/live1/HD-8000k-1080P-miguaoyun2/HD-8000k-1080P-miguaoyun2</t>
  </si>
  <si>
    <t>CCTV1,http://183.207.248.71/cntv/live1/CCTV-1/cctv-1</t>
  </si>
  <si>
    <t>CCTV2,http://183.207.248.71/cntv/live1/CCTV-2/cctv-2</t>
  </si>
  <si>
    <t>CCTV3,http://183.207.248.71/cntv/live1/CCTV-3/cctv-3</t>
  </si>
  <si>
    <t>CCTV4,http://183.207.248.71/cntv/live1/CCTV-4/cctv-4</t>
  </si>
  <si>
    <t>CCTV5,http://183.207.248.71/cntv/live1/CCTV-5/cctv-5</t>
  </si>
  <si>
    <t>CCTV5+,http://183.207.248.71/cntv/live1/CCTV5+/hdcctv05plus</t>
  </si>
  <si>
    <t>CCTV6,http://183.207.248.71/cntv/live1/CCTV-6/cctv-6</t>
  </si>
  <si>
    <t>CCTV7,http://223.110.242.217:6610/cntv/live1/H265-12000k-1080P-cctv7/H265-12000k-1080P-cctv7/1.m3u8</t>
  </si>
  <si>
    <t>CCTV7,http://183.207.248.71/cntv/live1/CCTV-7/cctv-7</t>
  </si>
  <si>
    <t>CCTV9,http://183.207.248.71/cntv/live1/CCTV-9/cctv-news</t>
  </si>
  <si>
    <t>CCTV10,http://183.207.248.71/cntv/live1/CCTV-10/cctv-10</t>
  </si>
  <si>
    <t>CCTV12,http://183.207.248.71/cntv/live1/CCTV-12/cctv-12</t>
  </si>
  <si>
    <t>CCTV13,http://183.207.248.71/cntv/live1/CCTV-13/cctv-13</t>
  </si>
  <si>
    <t>CCTV14,http://183.207.248.71/cntv/live1/CCTV-14/cctv-14</t>
  </si>
  <si>
    <t>安徽卫视,http://183.207.248.71/cntv/live1/安徽卫视/anhuistv</t>
  </si>
  <si>
    <t>东南卫视,http://223.110.255.131:6610/cntv/live1/H265-5500k-1080P-dongnanstv/H265-5500k-1080P-dongnanstv/1.m3u8</t>
  </si>
  <si>
    <t>甘肃卫视,http://223.110.255.143:6610/cntv/live1/n-gansustv/n-gansustv/1.m3u8</t>
  </si>
  <si>
    <t>海南卫视,http://223.110.255.206:6610/cntv/live1/SD-4000k-576P-lvyoustv/SD-4000k-576P-lvyoustv/1.m3u8</t>
  </si>
  <si>
    <t>黑龙江卫视,http://183.207.248.71/cntv/live1/黑龙江卫视/HD-2500k-1080P-heilongjiangstv</t>
  </si>
  <si>
    <t>江西卫视,http://223.110.255.208:6610/cntv/live1/H265-5500k-1080P-jiangxistv/H265-5500k-1080P-jiangxistv/1.m3u8</t>
  </si>
  <si>
    <t>江西卫视,http://183.207.248.71/cntv/live1/江西卫视/jiangxistv</t>
  </si>
  <si>
    <t>云南卫视,http://223.110.255.199:6610/cntv/live1/n-yntv1/n-yntv1/1.m3u8</t>
  </si>
  <si>
    <t>重庆卫视,http://223.110.255.204:6610/cntv/live1/H265-5500k-1080P-chongqingstv/H265-5500k-1080P-chongqingstv/1.m3u8</t>
  </si>
  <si>
    <t>NewTV炫舞未来,http://183.207.248.71/cntv/live1/炫舞未来/HD-4000k-1080P-xwwl</t>
  </si>
  <si>
    <t>哒啵赛事,http://183.207.248.71/cntv/live1/NewTV电竞/wmyx</t>
  </si>
  <si>
    <t>黑莓电影,http://183.207.248.71/cntv/live1/精品电影/jdianying</t>
  </si>
  <si>
    <t>黑莓动画,http://183.207.248.71/cntv/live1/动画王国/donghuawg</t>
  </si>
  <si>
    <t>北京纪实,http://183.207.248.71/cntv/live1/北京纪实频道超/HD-8000k-1080P-beijingjishi</t>
  </si>
  <si>
    <t>风尚购物,http://183.207.248.71/cntv/live1/风尚购物/fengshanggw</t>
  </si>
  <si>
    <t>家有购物,http://183.207.248.71/cntv/live1/家有购物/SD-1500k-576P-jiayougw</t>
  </si>
  <si>
    <t>CCTV1,http://223.110.255.208:6610/jsyd/live1/G_CCTV-1-MD/G_CCTV-1-MD/1.m3u8</t>
  </si>
  <si>
    <t>CCTV2,http://223.110.255.209:6610/jsyd/live1/G_CCTV-2-MD/G_CCTV-2-MD/1.m3u8</t>
  </si>
  <si>
    <t>CCTV4,http://223.110.255.146:6610/jsyd/live1/G_CCTV-4-MD/G_CCTV-4-MD/1.m3u8</t>
  </si>
  <si>
    <t>CCTV5+,http://223.110.255.205:6610/jsyd/live1/G_CCTV-5PLUS-MD/G_CCTV-5PLUS-MD/1.m3u8</t>
  </si>
  <si>
    <t>CCTV6,http://223.110.255.198:6610/jsyd/live1/G_CCTV-6-MD/G_CCTV-6-MD/1.m3u8</t>
  </si>
  <si>
    <t>CCTV6,http://223.110.242.207:6610/jsyd/live1/G_CCTV-6-MD/G_CCTV-6-MD/1.m3u8</t>
  </si>
  <si>
    <t>江苏卫视,http://223.110.255.157:6610/jsyd/live1/G_JIANGSU-MD/G_JIANGSU-MD/1.m3u8</t>
  </si>
  <si>
    <t>湖南卫视,http://223.110.255.203:6610/jsyd/live1/G_HUNAN-MD/G_HUNAN-MD/1.m3u8</t>
  </si>
  <si>
    <t>浙江卫视,http://223.110.255.143:6610/jsyd/live1/G_ZHEJIANG-MD/G_ZHEJIANG-MD/1.m3u8</t>
  </si>
  <si>
    <t>安徽卫视,http://223.110.255.155:6610/jsyd/live1/G_ANHUI-MD/G_ANHUI-MD/1.m3u8</t>
  </si>
  <si>
    <t>北京卫视,http://223.110.255.208:6610/jsyd/live1/G_BEIJING-MD/G_BEIJING-MD/1.m3u8</t>
  </si>
  <si>
    <t>东方卫视,http://223.110.255.199:6610/jsyd/live1/G_DONGFANG-MD/G_DONGFANG-MD/1.m3u8</t>
  </si>
  <si>
    <t>广东卫视,http://223.110.255.204:6610/jsyd/live1/G_GUANGDONG-MD/G_GUANGDONG-MD/1.m3u8</t>
  </si>
  <si>
    <t>黑龙江卫视,http://223.110.255.152:6610/jsyd/live1/G_HEILONGJIANG-MD/G_HEILONGJIANG-MD/1.m3u8</t>
  </si>
  <si>
    <t>湖北卫视,http://223.110.255.160:6610/jsyd/live1/G_HUBEI-MD/G_HUBEI-MD/1.m3u8</t>
  </si>
  <si>
    <t>辽宁卫视,http://223.110.255.206:6610/jsyd/live1/G_LIAONING-MD/G_LIAONING-MD/1.m3u8</t>
  </si>
  <si>
    <t>山东卫视,http://223.110.255.131:6610/jsyd/live1/G_SHANDONG-MD/G_SHANDONG-MD/1.m3u8</t>
  </si>
  <si>
    <t>深圳卫视,http://223.110.255.156:6610/jsyd/live1/G_SHENZHEN-MD/G_SHENZHEN-MD/1.m3u8</t>
  </si>
  <si>
    <t>天津卫视,http://223.110.255.146:6610/jsyd/live1/G_TIANJIN-MD/G_TIANJIN-MD/1.m3u8</t>
  </si>
  <si>
    <t>BesTV-1,http://[2409:8087:1e01:20::3]/PLTV/11/224/3221225663/1.m3u8</t>
  </si>
  <si>
    <t>BesTV-2,http://[2409:8087:1e01:20::3]/PLTV/11/224/3221225664/1.m3u8</t>
  </si>
  <si>
    <t>BesTV-3,http://[2409:8087:1e01:20::3]/PLTV/11/224/3221225665/1.m3u8</t>
  </si>
  <si>
    <t>BesTV-4,http://[2409:8087:1e01:20::3]/PLTV/11/224/3221225666/1.m3u8</t>
  </si>
  <si>
    <t>BesTV-5,http://[2409:8087:1e01:20::3]/PLTV/11/224/3221225667/1.m3u8</t>
  </si>
  <si>
    <t>BesTV-6,http://[2409:8087:1e01:20::3]/PLTV/11/224/3221225669/1.m3u8</t>
  </si>
  <si>
    <t>BesTV-7,http://[2409:8087:1e01:20::3]/PLTV/11/224/3221225670/1.m3u8</t>
  </si>
  <si>
    <t>BesTV-8,http://[2409:8087:1e01:20::3]/PLTV/11/224/3221225671/1.m3u8</t>
  </si>
  <si>
    <t>BesTV-9,http://[2409:8087:1e01:20::3]/PLTV/11/224/3221226102/1.m3u8</t>
  </si>
  <si>
    <t>BesTV-10,http://[2409:8087:1e01:20::3]/PLTV/11/224/3221226123/1.m3u8</t>
  </si>
  <si>
    <t>东方购物-1,http://[2409:8087:1e01:20::3]/PLTV/11/224/3221226141/1.m3u8</t>
  </si>
  <si>
    <t>东方购物-2,http://[2409:8087:1e01:20::3]/PLTV/11/224/3221226142/1.m3u8</t>
  </si>
  <si>
    <t>东方购物-3,http://[2409:8087:1e01:20::3]/PLTV/11/224/3221226144/1.m3u8</t>
  </si>
  <si>
    <t>CCTV16-4K,http://223.110.241.139:6610/gitv/live1/G_CCTV-16-4K/G_CCTV-16-4K/</t>
  </si>
  <si>
    <t>1280x720</t>
  </si>
  <si>
    <t>1920x800</t>
  </si>
  <si>
    <t>0x0</t>
  </si>
  <si>
    <t>pltv_3221228559</t>
  </si>
  <si>
    <t>http://ott.mobaibox.com/PLTV/4/224/3221228559/index.m3u8</t>
  </si>
  <si>
    <t>pltv_3221228556</t>
  </si>
  <si>
    <t>http://ott.mobaibox.com/PLTV/4/224/3221228556/index.m3u8</t>
  </si>
  <si>
    <t>672x896</t>
  </si>
  <si>
    <t>pltv_3221228588</t>
  </si>
  <si>
    <t>http://ott.mobaibox.com/PLTV/4/224/3221228588/index.m3u8</t>
  </si>
  <si>
    <t>pltv_3221228635</t>
  </si>
  <si>
    <t>http://ott.mobaibox.com/PLTV/4/224/3221228635/index.m3u8</t>
  </si>
  <si>
    <t>pltv_3221228638</t>
  </si>
  <si>
    <t>http://ott.mobaibox.com/PLTV/4/224/3221228638/index.m3u8</t>
  </si>
  <si>
    <t>pltv_3221228703</t>
  </si>
  <si>
    <t>http://ott.mobaibox.com/PLTV/4/224/3221228703/index.m3u8</t>
  </si>
  <si>
    <t>pltv_3221228706</t>
  </si>
  <si>
    <t>http://ott.mobaibox.com/PLTV/4/224/3221228706/index.m3u8</t>
  </si>
  <si>
    <t>http://ott.mobaibox.com/PLTV/4/224/3221228712/index.m3u8</t>
  </si>
  <si>
    <t>http://ott.mobaibox.com/PLTV/4/224/3221228715/index.m3u8</t>
  </si>
  <si>
    <t>http://ott.mobaibox.com/PLTV/4/224/3221228753/index.m3u8</t>
  </si>
  <si>
    <t>http://ott.mobaibox.com/PLTV/4/224/3221228806/index.m3u8</t>
  </si>
  <si>
    <t>http://ott.mobaibox.com/PLTV/4/224/3221228897/index.m3u8</t>
  </si>
  <si>
    <t>南京南站直播</t>
    <phoneticPr fontId="1" type="noConversion"/>
  </si>
  <si>
    <t>南京新街口直播</t>
    <phoneticPr fontId="1" type="noConversion"/>
  </si>
  <si>
    <t>南京音乐台直播</t>
    <phoneticPr fontId="1" type="noConversion"/>
  </si>
  <si>
    <t>南京北级阁直播</t>
    <phoneticPr fontId="1" type="noConversion"/>
  </si>
  <si>
    <t>南京新街口直播,http://ott.mobaibox.com/PLTV/4/224/3221228712/index.m3u8</t>
  </si>
  <si>
    <t>南京南站直播,http://ott.mobaibox.com/PLTV/4/224/3221228715/index.m3u8</t>
  </si>
  <si>
    <t>南京音乐台直播,http://ott.mobaibox.com/PLTV/4/224/3221228753/index.m3u8</t>
  </si>
  <si>
    <t>南京北级阁直播,http://ott.mobaibox.com/PLTV/4/224/3221228806/index.m3u8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</si>
</sst>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F22E-085B-476B-9E45-D758257A502E}">
  <dimension ref="A1:H643"/>
  <sheetViews>
    <sheetView tabSelected="1" workbookViewId="0">
      <selection activeCell="B2" sqref="B2"/>
    </sheetView>
  </sheetViews>
  <sheetFormatPr defaultRowHeight="14" x14ac:dyDescent="0.25"/>
  <cols>
    <col min="1" max="1" width="27.7265625" customWidth="1"/>
    <col min="2" max="2" width="42.54296875" customWidth="1"/>
    <col min="5" max="5" width="10.2695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1949</v>
      </c>
    </row>
    <row r="2" spans="1:8" x14ac:dyDescent="0.25">
      <c r="A2" t="s">
        <v>2424</v>
      </c>
      <c r="B2" t="s">
        <v>2425</v>
      </c>
      <c r="C2" t="s">
        <v>9</v>
      </c>
      <c r="E2" t="s">
        <v>2426</v>
      </c>
      <c r="F2" t="s">
        <v>11</v>
      </c>
      <c r="G2">
        <v>6453</v>
      </c>
      <c r="H2" t="str">
        <f>VLOOKUP(B2,Sheet1!C:D,2,0)</f>
        <v>广播-8556</v>
      </c>
    </row>
    <row r="3" spans="1:8" x14ac:dyDescent="0.25">
      <c r="A3" t="s">
        <v>236</v>
      </c>
      <c r="B3" t="s">
        <v>237</v>
      </c>
      <c r="C3" t="s">
        <v>9</v>
      </c>
      <c r="E3" t="s">
        <v>238</v>
      </c>
      <c r="F3" t="s">
        <v>11</v>
      </c>
      <c r="G3">
        <v>4103</v>
      </c>
      <c r="H3" t="str">
        <f>VLOOKUP(B3,Sheet1!C:D,2,0)</f>
        <v>4KUHD-1</v>
      </c>
    </row>
    <row r="4" spans="1:8" x14ac:dyDescent="0.25">
      <c r="A4" t="s">
        <v>713</v>
      </c>
      <c r="B4" t="s">
        <v>714</v>
      </c>
      <c r="C4" t="s">
        <v>9</v>
      </c>
      <c r="E4" t="s">
        <v>238</v>
      </c>
      <c r="F4" t="s">
        <v>11</v>
      </c>
      <c r="G4">
        <v>4300</v>
      </c>
      <c r="H4" t="str">
        <f>VLOOKUP(B4,Sheet1!C:D,2,0)</f>
        <v>4KUHD-2</v>
      </c>
    </row>
    <row r="5" spans="1:8" x14ac:dyDescent="0.25">
      <c r="A5" t="s">
        <v>623</v>
      </c>
      <c r="B5" t="s">
        <v>624</v>
      </c>
      <c r="C5" t="s">
        <v>9</v>
      </c>
      <c r="E5" t="s">
        <v>238</v>
      </c>
      <c r="F5" t="s">
        <v>11</v>
      </c>
      <c r="G5">
        <v>4116</v>
      </c>
      <c r="H5" t="str">
        <f>VLOOKUP(B5,Sheet1!C:D,2,0)</f>
        <v>4K修复</v>
      </c>
    </row>
    <row r="6" spans="1:8" x14ac:dyDescent="0.25">
      <c r="A6" t="s">
        <v>913</v>
      </c>
      <c r="B6" t="s">
        <v>914</v>
      </c>
      <c r="C6" t="s">
        <v>9</v>
      </c>
      <c r="E6" t="s">
        <v>238</v>
      </c>
      <c r="F6" t="s">
        <v>11</v>
      </c>
      <c r="G6">
        <v>3798</v>
      </c>
      <c r="H6" t="str">
        <f>VLOOKUP(B6,Sheet1!C:D,2,0)</f>
        <v>4K演示-8589</v>
      </c>
    </row>
    <row r="7" spans="1:8" x14ac:dyDescent="0.25">
      <c r="A7" t="s">
        <v>905</v>
      </c>
      <c r="B7" t="s">
        <v>906</v>
      </c>
      <c r="C7" t="s">
        <v>9</v>
      </c>
      <c r="E7" t="s">
        <v>238</v>
      </c>
      <c r="F7" t="s">
        <v>11</v>
      </c>
      <c r="G7">
        <v>4693</v>
      </c>
      <c r="H7" t="str">
        <f>VLOOKUP(B7,Sheet1!C:D,2,0)</f>
        <v>CCTV1-4K</v>
      </c>
    </row>
    <row r="8" spans="1:8" x14ac:dyDescent="0.25">
      <c r="A8" t="s">
        <v>649</v>
      </c>
      <c r="B8" t="s">
        <v>650</v>
      </c>
      <c r="C8" t="s">
        <v>9</v>
      </c>
      <c r="E8" t="s">
        <v>238</v>
      </c>
      <c r="F8" t="s">
        <v>11</v>
      </c>
      <c r="G8">
        <v>3918</v>
      </c>
      <c r="H8" t="str">
        <f>VLOOKUP(B8,Sheet1!C:D,2,0)</f>
        <v>CCTV16-4K</v>
      </c>
    </row>
    <row r="9" spans="1:8" x14ac:dyDescent="0.25">
      <c r="A9" t="s">
        <v>741</v>
      </c>
      <c r="B9" t="s">
        <v>742</v>
      </c>
      <c r="C9" t="s">
        <v>9</v>
      </c>
      <c r="E9" t="s">
        <v>238</v>
      </c>
      <c r="F9" t="s">
        <v>11</v>
      </c>
      <c r="G9">
        <v>3987</v>
      </c>
      <c r="H9" t="str">
        <f>VLOOKUP(B9,Sheet1!C:D,2,0)</f>
        <v>CCTV16-4K</v>
      </c>
    </row>
    <row r="10" spans="1:8" x14ac:dyDescent="0.25">
      <c r="A10" t="s">
        <v>805</v>
      </c>
      <c r="B10" t="s">
        <v>806</v>
      </c>
      <c r="C10" t="s">
        <v>9</v>
      </c>
      <c r="E10" t="s">
        <v>238</v>
      </c>
      <c r="F10" t="s">
        <v>11</v>
      </c>
      <c r="G10">
        <v>4733</v>
      </c>
      <c r="H10" t="str">
        <f>VLOOKUP(B10,Sheet1!C:D,2,0)</f>
        <v>CCTV3-4K</v>
      </c>
    </row>
    <row r="11" spans="1:8" x14ac:dyDescent="0.25">
      <c r="A11" t="s">
        <v>697</v>
      </c>
      <c r="B11" t="s">
        <v>698</v>
      </c>
      <c r="C11" t="s">
        <v>9</v>
      </c>
      <c r="E11" t="s">
        <v>238</v>
      </c>
      <c r="F11" t="s">
        <v>11</v>
      </c>
      <c r="G11">
        <v>4260</v>
      </c>
      <c r="H11" t="str">
        <f>VLOOKUP(B11,Sheet1!C:D,2,0)</f>
        <v>CCTV4K</v>
      </c>
    </row>
    <row r="12" spans="1:8" x14ac:dyDescent="0.25">
      <c r="A12" t="s">
        <v>801</v>
      </c>
      <c r="B12" t="s">
        <v>802</v>
      </c>
      <c r="C12" t="s">
        <v>9</v>
      </c>
      <c r="E12" t="s">
        <v>238</v>
      </c>
      <c r="F12" t="s">
        <v>11</v>
      </c>
      <c r="G12">
        <v>4240</v>
      </c>
      <c r="H12" t="str">
        <f>VLOOKUP(B12,Sheet1!C:D,2,0)</f>
        <v>CCTV4K</v>
      </c>
    </row>
    <row r="13" spans="1:8" x14ac:dyDescent="0.25">
      <c r="A13" t="s">
        <v>807</v>
      </c>
      <c r="B13" t="s">
        <v>808</v>
      </c>
      <c r="C13" t="s">
        <v>9</v>
      </c>
      <c r="E13" t="s">
        <v>238</v>
      </c>
      <c r="F13" t="s">
        <v>11</v>
      </c>
      <c r="G13">
        <v>4632</v>
      </c>
      <c r="H13" t="str">
        <f>VLOOKUP(B13,Sheet1!C:D,2,0)</f>
        <v>CCTV5-4K</v>
      </c>
    </row>
    <row r="14" spans="1:8" x14ac:dyDescent="0.25">
      <c r="A14" t="s">
        <v>647</v>
      </c>
      <c r="B14" t="s">
        <v>648</v>
      </c>
      <c r="C14" t="s">
        <v>9</v>
      </c>
      <c r="E14" t="s">
        <v>238</v>
      </c>
      <c r="F14" t="s">
        <v>11</v>
      </c>
      <c r="G14">
        <v>4592</v>
      </c>
      <c r="H14" t="str">
        <f>VLOOKUP(B14,Sheet1!C:D,2,0)</f>
        <v>CCTV8K</v>
      </c>
    </row>
    <row r="15" spans="1:8" x14ac:dyDescent="0.25">
      <c r="A15" t="s">
        <v>1200</v>
      </c>
      <c r="B15" t="s">
        <v>1201</v>
      </c>
      <c r="C15" t="s">
        <v>9</v>
      </c>
      <c r="E15" t="s">
        <v>238</v>
      </c>
      <c r="F15" t="s">
        <v>11</v>
      </c>
      <c r="G15">
        <v>6063</v>
      </c>
      <c r="H15" t="str">
        <f>VLOOKUP(B15,Sheet1!C:D,2,0)</f>
        <v>北京卫视4K</v>
      </c>
    </row>
    <row r="16" spans="1:8" x14ac:dyDescent="0.25">
      <c r="A16" t="s">
        <v>1250</v>
      </c>
      <c r="B16" t="s">
        <v>1251</v>
      </c>
      <c r="C16" t="s">
        <v>9</v>
      </c>
      <c r="E16" t="s">
        <v>238</v>
      </c>
      <c r="F16" t="s">
        <v>11</v>
      </c>
      <c r="G16">
        <v>5047</v>
      </c>
      <c r="H16" t="str">
        <f>VLOOKUP(B16,Sheet1!C:D,2,0)</f>
        <v>北京卫视4K</v>
      </c>
    </row>
    <row r="17" spans="1:8" x14ac:dyDescent="0.25">
      <c r="A17" t="s">
        <v>1214</v>
      </c>
      <c r="B17" t="s">
        <v>1215</v>
      </c>
      <c r="C17" t="s">
        <v>9</v>
      </c>
      <c r="E17" t="s">
        <v>238</v>
      </c>
      <c r="F17" t="s">
        <v>11</v>
      </c>
      <c r="G17">
        <v>6078</v>
      </c>
      <c r="H17" t="str">
        <f>VLOOKUP(B17,Sheet1!C:D,2,0)</f>
        <v>广东卫视4K</v>
      </c>
    </row>
    <row r="18" spans="1:8" x14ac:dyDescent="0.25">
      <c r="A18" t="s">
        <v>1256</v>
      </c>
      <c r="B18" t="s">
        <v>2441</v>
      </c>
      <c r="C18" t="s">
        <v>9</v>
      </c>
      <c r="E18" t="s">
        <v>238</v>
      </c>
      <c r="F18" t="s">
        <v>11</v>
      </c>
      <c r="G18">
        <v>4951</v>
      </c>
      <c r="H18" t="str">
        <f>VLOOKUP(B18,Sheet1!C:D,2,0)</f>
        <v>江苏卫视4K</v>
      </c>
    </row>
    <row r="19" spans="1:8" x14ac:dyDescent="0.25">
      <c r="A19" t="s">
        <v>1238</v>
      </c>
      <c r="B19" t="s">
        <v>1239</v>
      </c>
      <c r="C19" t="s">
        <v>9</v>
      </c>
      <c r="E19" t="s">
        <v>238</v>
      </c>
      <c r="F19" t="s">
        <v>11</v>
      </c>
      <c r="G19">
        <v>4623</v>
      </c>
      <c r="H19" t="str">
        <f>VLOOKUP(B19,Sheet1!C:D,2,0)</f>
        <v>江苏卫视-4K</v>
      </c>
    </row>
    <row r="20" spans="1:8" x14ac:dyDescent="0.25">
      <c r="A20" t="s">
        <v>1061</v>
      </c>
      <c r="B20" t="s">
        <v>1062</v>
      </c>
      <c r="C20" t="s">
        <v>9</v>
      </c>
      <c r="E20" t="s">
        <v>238</v>
      </c>
      <c r="F20" t="s">
        <v>11</v>
      </c>
      <c r="G20">
        <v>4561</v>
      </c>
      <c r="H20" t="str">
        <f>VLOOKUP(B20,Sheet1!C:D,2,0)</f>
        <v>睛彩竞技-4K</v>
      </c>
    </row>
    <row r="21" spans="1:8" x14ac:dyDescent="0.25">
      <c r="A21" t="s">
        <v>1065</v>
      </c>
      <c r="B21" t="s">
        <v>1066</v>
      </c>
      <c r="C21" t="s">
        <v>9</v>
      </c>
      <c r="E21" t="s">
        <v>238</v>
      </c>
      <c r="F21" t="s">
        <v>11</v>
      </c>
      <c r="G21">
        <v>4736</v>
      </c>
      <c r="H21" t="str">
        <f>VLOOKUP(B21,Sheet1!C:D,2,0)</f>
        <v>睛彩篮球-4K</v>
      </c>
    </row>
    <row r="22" spans="1:8" x14ac:dyDescent="0.25">
      <c r="A22" t="s">
        <v>1212</v>
      </c>
      <c r="B22" t="s">
        <v>1213</v>
      </c>
      <c r="C22" t="s">
        <v>9</v>
      </c>
      <c r="E22" t="s">
        <v>238</v>
      </c>
      <c r="F22" t="s">
        <v>11</v>
      </c>
      <c r="G22">
        <v>5706</v>
      </c>
      <c r="H22" t="str">
        <f>VLOOKUP(B22,Sheet1!C:D,2,0)</f>
        <v>深圳卫视4K</v>
      </c>
    </row>
    <row r="23" spans="1:8" x14ac:dyDescent="0.25">
      <c r="A23" t="s">
        <v>1246</v>
      </c>
      <c r="B23" t="s">
        <v>1247</v>
      </c>
      <c r="C23" t="s">
        <v>9</v>
      </c>
      <c r="E23" t="s">
        <v>238</v>
      </c>
      <c r="F23" t="s">
        <v>11</v>
      </c>
      <c r="G23">
        <v>4753</v>
      </c>
      <c r="H23" t="str">
        <f>VLOOKUP(B23,Sheet1!C:D,2,0)</f>
        <v>央广网-4K</v>
      </c>
    </row>
    <row r="24" spans="1:8" x14ac:dyDescent="0.25">
      <c r="A24" t="s">
        <v>311</v>
      </c>
      <c r="B24" t="s">
        <v>312</v>
      </c>
      <c r="C24" t="s">
        <v>9</v>
      </c>
      <c r="E24" t="s">
        <v>2420</v>
      </c>
      <c r="F24" t="s">
        <v>11</v>
      </c>
      <c r="G24">
        <v>3682</v>
      </c>
      <c r="H24" t="str">
        <f>VLOOKUP(B24,Sheet1!C:D,2,0)</f>
        <v>电视剧-7579</v>
      </c>
    </row>
    <row r="25" spans="1:8" x14ac:dyDescent="0.25">
      <c r="A25" t="s">
        <v>487</v>
      </c>
      <c r="B25" t="s">
        <v>488</v>
      </c>
      <c r="C25" t="s">
        <v>9</v>
      </c>
      <c r="E25" t="s">
        <v>10</v>
      </c>
      <c r="F25" t="s">
        <v>11</v>
      </c>
      <c r="G25">
        <v>3601</v>
      </c>
      <c r="H25" t="str">
        <f>VLOOKUP(B25,Sheet1!C:D,2,0)</f>
        <v>7730</v>
      </c>
    </row>
    <row r="26" spans="1:8" x14ac:dyDescent="0.25">
      <c r="A26" t="s">
        <v>517</v>
      </c>
      <c r="B26" t="s">
        <v>518</v>
      </c>
      <c r="C26" t="s">
        <v>9</v>
      </c>
      <c r="E26" t="s">
        <v>10</v>
      </c>
      <c r="F26" t="s">
        <v>11</v>
      </c>
      <c r="G26">
        <v>3609</v>
      </c>
      <c r="H26" t="str">
        <f>VLOOKUP(B26,Sheet1!C:D,2,0)</f>
        <v>7786</v>
      </c>
    </row>
    <row r="27" spans="1:8" x14ac:dyDescent="0.25">
      <c r="A27" t="s">
        <v>531</v>
      </c>
      <c r="B27" t="s">
        <v>532</v>
      </c>
      <c r="C27" t="s">
        <v>9</v>
      </c>
      <c r="E27" t="s">
        <v>10</v>
      </c>
      <c r="F27" t="s">
        <v>11</v>
      </c>
      <c r="G27">
        <v>3706</v>
      </c>
      <c r="H27" t="str">
        <f>VLOOKUP(B27,Sheet1!C:D,2,0)</f>
        <v>7905</v>
      </c>
    </row>
    <row r="28" spans="1:8" x14ac:dyDescent="0.25">
      <c r="A28" t="s">
        <v>559</v>
      </c>
      <c r="B28" t="s">
        <v>560</v>
      </c>
      <c r="C28" t="s">
        <v>9</v>
      </c>
      <c r="E28" t="s">
        <v>10</v>
      </c>
      <c r="F28" t="s">
        <v>11</v>
      </c>
      <c r="G28">
        <v>3607</v>
      </c>
      <c r="H28" t="str">
        <f>VLOOKUP(B28,Sheet1!C:D,2,0)</f>
        <v>8039</v>
      </c>
    </row>
    <row r="29" spans="1:8" x14ac:dyDescent="0.25">
      <c r="A29" t="s">
        <v>915</v>
      </c>
      <c r="B29" t="s">
        <v>916</v>
      </c>
      <c r="C29" t="s">
        <v>9</v>
      </c>
      <c r="E29" t="s">
        <v>10</v>
      </c>
      <c r="F29" t="s">
        <v>11</v>
      </c>
      <c r="G29">
        <v>5079</v>
      </c>
      <c r="H29" t="str">
        <f>VLOOKUP(B29,Sheet1!C:D,2,0)</f>
        <v>8591</v>
      </c>
    </row>
    <row r="30" spans="1:8" x14ac:dyDescent="0.25">
      <c r="A30" t="s">
        <v>993</v>
      </c>
      <c r="B30" t="s">
        <v>994</v>
      </c>
      <c r="C30" t="s">
        <v>9</v>
      </c>
      <c r="E30" t="s">
        <v>10</v>
      </c>
      <c r="F30" t="s">
        <v>11</v>
      </c>
      <c r="G30">
        <v>4829</v>
      </c>
      <c r="H30" t="str">
        <f>VLOOKUP(B30,Sheet1!C:D,2,0)</f>
        <v>8637</v>
      </c>
    </row>
    <row r="31" spans="1:8" x14ac:dyDescent="0.25">
      <c r="A31" t="s">
        <v>1144</v>
      </c>
      <c r="B31" t="s">
        <v>1145</v>
      </c>
      <c r="C31" t="s">
        <v>9</v>
      </c>
      <c r="E31" t="s">
        <v>10</v>
      </c>
      <c r="F31" t="s">
        <v>11</v>
      </c>
      <c r="G31">
        <v>4755</v>
      </c>
      <c r="H31" t="str">
        <f>VLOOKUP(B31,Sheet1!C:D,2,0)</f>
        <v>8744</v>
      </c>
    </row>
    <row r="32" spans="1:8" x14ac:dyDescent="0.25">
      <c r="A32" t="s">
        <v>1222</v>
      </c>
      <c r="B32" t="s">
        <v>1223</v>
      </c>
      <c r="C32" t="s">
        <v>9</v>
      </c>
      <c r="E32" t="s">
        <v>10</v>
      </c>
      <c r="F32" t="s">
        <v>11</v>
      </c>
      <c r="G32">
        <v>4888</v>
      </c>
      <c r="H32" t="str">
        <f>VLOOKUP(B32,Sheet1!C:D,2,0)</f>
        <v>8843</v>
      </c>
    </row>
    <row r="33" spans="1:8" x14ac:dyDescent="0.25">
      <c r="A33" t="s">
        <v>7</v>
      </c>
      <c r="B33" t="s">
        <v>8</v>
      </c>
      <c r="C33" t="s">
        <v>9</v>
      </c>
      <c r="E33" t="s">
        <v>10</v>
      </c>
      <c r="F33" t="s">
        <v>11</v>
      </c>
      <c r="G33">
        <v>3927</v>
      </c>
      <c r="H33" t="str">
        <f>VLOOKUP(B33,Sheet1!C:D,2,0)</f>
        <v>CCTV1</v>
      </c>
    </row>
    <row r="34" spans="1:8" x14ac:dyDescent="0.25">
      <c r="A34" t="s">
        <v>148</v>
      </c>
      <c r="B34" t="s">
        <v>149</v>
      </c>
      <c r="C34" t="s">
        <v>9</v>
      </c>
      <c r="E34" t="s">
        <v>10</v>
      </c>
      <c r="F34" t="s">
        <v>11</v>
      </c>
      <c r="G34">
        <v>3900</v>
      </c>
      <c r="H34" t="str">
        <f>VLOOKUP(B34,Sheet1!C:D,2,0)</f>
        <v>CCTV1</v>
      </c>
    </row>
    <row r="35" spans="1:8" x14ac:dyDescent="0.25">
      <c r="A35" t="s">
        <v>200</v>
      </c>
      <c r="B35" t="s">
        <v>201</v>
      </c>
      <c r="C35" t="s">
        <v>9</v>
      </c>
      <c r="E35" t="s">
        <v>10</v>
      </c>
      <c r="F35" t="s">
        <v>11</v>
      </c>
      <c r="G35">
        <v>3935</v>
      </c>
      <c r="H35" t="str">
        <f>VLOOKUP(B35,Sheet1!C:D,2,0)</f>
        <v>CCTV1</v>
      </c>
    </row>
    <row r="36" spans="1:8" x14ac:dyDescent="0.25">
      <c r="A36" t="s">
        <v>202</v>
      </c>
      <c r="B36" t="s">
        <v>203</v>
      </c>
      <c r="C36" t="s">
        <v>9</v>
      </c>
      <c r="E36" t="s">
        <v>10</v>
      </c>
      <c r="F36" t="s">
        <v>11</v>
      </c>
      <c r="G36">
        <v>3917</v>
      </c>
      <c r="H36" t="str">
        <f>VLOOKUP(B36,Sheet1!C:D,2,0)</f>
        <v>CCTV1</v>
      </c>
    </row>
    <row r="37" spans="1:8" x14ac:dyDescent="0.25">
      <c r="A37" t="s">
        <v>367</v>
      </c>
      <c r="B37" t="s">
        <v>368</v>
      </c>
      <c r="C37" t="s">
        <v>9</v>
      </c>
      <c r="E37" t="s">
        <v>10</v>
      </c>
      <c r="F37" t="s">
        <v>11</v>
      </c>
      <c r="G37">
        <v>3868</v>
      </c>
      <c r="H37" t="str">
        <f>VLOOKUP(B37,Sheet1!C:D,2,0)</f>
        <v>CCTV1</v>
      </c>
    </row>
    <row r="38" spans="1:8" x14ac:dyDescent="0.25">
      <c r="A38" t="s">
        <v>375</v>
      </c>
      <c r="B38" t="s">
        <v>376</v>
      </c>
      <c r="C38" t="s">
        <v>9</v>
      </c>
      <c r="E38" t="s">
        <v>10</v>
      </c>
      <c r="F38" t="s">
        <v>11</v>
      </c>
      <c r="G38">
        <v>3927</v>
      </c>
      <c r="H38" t="str">
        <f>VLOOKUP(B38,Sheet1!C:D,2,0)</f>
        <v>CCTV1</v>
      </c>
    </row>
    <row r="39" spans="1:8" x14ac:dyDescent="0.25">
      <c r="A39" t="s">
        <v>381</v>
      </c>
      <c r="B39" t="s">
        <v>382</v>
      </c>
      <c r="C39" t="s">
        <v>9</v>
      </c>
      <c r="E39" t="s">
        <v>10</v>
      </c>
      <c r="F39" t="s">
        <v>11</v>
      </c>
      <c r="G39">
        <v>3904</v>
      </c>
      <c r="H39" t="str">
        <f>VLOOKUP(B39,Sheet1!C:D,2,0)</f>
        <v>CCTV1</v>
      </c>
    </row>
    <row r="40" spans="1:8" x14ac:dyDescent="0.25">
      <c r="A40" t="s">
        <v>415</v>
      </c>
      <c r="B40" t="s">
        <v>416</v>
      </c>
      <c r="C40" t="s">
        <v>9</v>
      </c>
      <c r="E40" t="s">
        <v>10</v>
      </c>
      <c r="F40" t="s">
        <v>11</v>
      </c>
      <c r="G40">
        <v>4842</v>
      </c>
      <c r="H40" t="str">
        <f>VLOOKUP(B40,Sheet1!C:D,2,0)</f>
        <v>CCTV1</v>
      </c>
    </row>
    <row r="41" spans="1:8" x14ac:dyDescent="0.25">
      <c r="A41" t="s">
        <v>481</v>
      </c>
      <c r="B41" t="s">
        <v>482</v>
      </c>
      <c r="C41" t="s">
        <v>9</v>
      </c>
      <c r="E41" t="s">
        <v>10</v>
      </c>
      <c r="F41" t="s">
        <v>11</v>
      </c>
      <c r="G41">
        <v>3928</v>
      </c>
      <c r="H41" t="str">
        <f>VLOOKUP(B41,Sheet1!C:D,2,0)</f>
        <v>CCTV1</v>
      </c>
    </row>
    <row r="42" spans="1:8" x14ac:dyDescent="0.25">
      <c r="A42" t="s">
        <v>561</v>
      </c>
      <c r="B42" t="s">
        <v>562</v>
      </c>
      <c r="C42" t="s">
        <v>9</v>
      </c>
      <c r="E42" t="s">
        <v>10</v>
      </c>
      <c r="F42" t="s">
        <v>11</v>
      </c>
      <c r="G42">
        <v>3819</v>
      </c>
      <c r="H42" t="str">
        <f>VLOOKUP(B42,Sheet1!C:D,2,0)</f>
        <v>CCTV1</v>
      </c>
    </row>
    <row r="43" spans="1:8" x14ac:dyDescent="0.25">
      <c r="A43" t="s">
        <v>627</v>
      </c>
      <c r="B43" t="s">
        <v>628</v>
      </c>
      <c r="C43" t="s">
        <v>9</v>
      </c>
      <c r="E43" t="s">
        <v>10</v>
      </c>
      <c r="F43" t="s">
        <v>11</v>
      </c>
      <c r="G43">
        <v>3946</v>
      </c>
      <c r="H43" t="str">
        <f>VLOOKUP(B43,Sheet1!C:D,2,0)</f>
        <v>CCTV1</v>
      </c>
    </row>
    <row r="44" spans="1:8" x14ac:dyDescent="0.25">
      <c r="A44" t="s">
        <v>631</v>
      </c>
      <c r="B44" t="s">
        <v>632</v>
      </c>
      <c r="C44" t="s">
        <v>9</v>
      </c>
      <c r="E44" t="s">
        <v>10</v>
      </c>
      <c r="F44" t="s">
        <v>11</v>
      </c>
      <c r="G44">
        <v>3834</v>
      </c>
      <c r="H44" t="str">
        <f>VLOOKUP(B44,Sheet1!C:D,2,0)</f>
        <v>CCTV1</v>
      </c>
    </row>
    <row r="45" spans="1:8" x14ac:dyDescent="0.25">
      <c r="A45" t="s">
        <v>687</v>
      </c>
      <c r="B45" t="s">
        <v>688</v>
      </c>
      <c r="C45" t="s">
        <v>9</v>
      </c>
      <c r="E45" t="s">
        <v>10</v>
      </c>
      <c r="F45" t="s">
        <v>11</v>
      </c>
      <c r="G45">
        <v>3962</v>
      </c>
      <c r="H45" t="str">
        <f>VLOOKUP(B45,Sheet1!C:D,2,0)</f>
        <v>CCTV1</v>
      </c>
    </row>
    <row r="46" spans="1:8" x14ac:dyDescent="0.25">
      <c r="A46" t="s">
        <v>723</v>
      </c>
      <c r="B46" t="s">
        <v>724</v>
      </c>
      <c r="C46" t="s">
        <v>9</v>
      </c>
      <c r="E46" t="s">
        <v>10</v>
      </c>
      <c r="F46" t="s">
        <v>11</v>
      </c>
      <c r="G46">
        <v>3606</v>
      </c>
      <c r="H46" t="str">
        <f>VLOOKUP(B46,Sheet1!C:D,2,0)</f>
        <v>CCTV1</v>
      </c>
    </row>
    <row r="47" spans="1:8" x14ac:dyDescent="0.25">
      <c r="A47" t="s">
        <v>24</v>
      </c>
      <c r="B47" t="s">
        <v>25</v>
      </c>
      <c r="C47" t="s">
        <v>9</v>
      </c>
      <c r="E47" t="s">
        <v>10</v>
      </c>
      <c r="F47" t="s">
        <v>11</v>
      </c>
      <c r="G47">
        <v>3956</v>
      </c>
      <c r="H47" t="str">
        <f>VLOOKUP(B47,Sheet1!C:D,2,0)</f>
        <v>CCTV10</v>
      </c>
    </row>
    <row r="48" spans="1:8" x14ac:dyDescent="0.25">
      <c r="A48" t="s">
        <v>140</v>
      </c>
      <c r="B48" t="s">
        <v>141</v>
      </c>
      <c r="C48" t="s">
        <v>9</v>
      </c>
      <c r="E48" t="s">
        <v>10</v>
      </c>
      <c r="F48" t="s">
        <v>11</v>
      </c>
      <c r="G48">
        <v>3885</v>
      </c>
      <c r="H48" t="str">
        <f>VLOOKUP(B48,Sheet1!C:D,2,0)</f>
        <v>CCTV10</v>
      </c>
    </row>
    <row r="49" spans="1:8" x14ac:dyDescent="0.25">
      <c r="A49" t="s">
        <v>349</v>
      </c>
      <c r="B49" t="s">
        <v>350</v>
      </c>
      <c r="C49" t="s">
        <v>9</v>
      </c>
      <c r="E49" t="s">
        <v>10</v>
      </c>
      <c r="F49" t="s">
        <v>11</v>
      </c>
      <c r="G49">
        <v>3905</v>
      </c>
      <c r="H49" t="str">
        <f>VLOOKUP(B49,Sheet1!C:D,2,0)</f>
        <v>CCTV10</v>
      </c>
    </row>
    <row r="50" spans="1:8" x14ac:dyDescent="0.25">
      <c r="A50" t="s">
        <v>471</v>
      </c>
      <c r="B50" t="s">
        <v>472</v>
      </c>
      <c r="C50" t="s">
        <v>9</v>
      </c>
      <c r="E50" t="s">
        <v>10</v>
      </c>
      <c r="F50" t="s">
        <v>11</v>
      </c>
      <c r="G50">
        <v>3904</v>
      </c>
      <c r="H50" t="str">
        <f>VLOOKUP(B50,Sheet1!C:D,2,0)</f>
        <v>CCTV10</v>
      </c>
    </row>
    <row r="51" spans="1:8" x14ac:dyDescent="0.25">
      <c r="A51" t="s">
        <v>1021</v>
      </c>
      <c r="B51" t="s">
        <v>1022</v>
      </c>
      <c r="C51" t="s">
        <v>9</v>
      </c>
      <c r="E51" t="s">
        <v>10</v>
      </c>
      <c r="F51" t="s">
        <v>11</v>
      </c>
      <c r="G51">
        <v>4687</v>
      </c>
      <c r="H51" t="str">
        <f>VLOOKUP(B51,Sheet1!C:D,2,0)</f>
        <v>CCTV10</v>
      </c>
    </row>
    <row r="52" spans="1:8" x14ac:dyDescent="0.25">
      <c r="A52" t="s">
        <v>1162</v>
      </c>
      <c r="B52" t="s">
        <v>1163</v>
      </c>
      <c r="C52" t="s">
        <v>9</v>
      </c>
      <c r="E52" t="s">
        <v>10</v>
      </c>
      <c r="F52" t="s">
        <v>11</v>
      </c>
      <c r="G52">
        <v>4666</v>
      </c>
      <c r="H52" t="str">
        <f>VLOOKUP(B52,Sheet1!C:D,2,0)</f>
        <v>CCTV10</v>
      </c>
    </row>
    <row r="53" spans="1:8" x14ac:dyDescent="0.25">
      <c r="A53" t="s">
        <v>160</v>
      </c>
      <c r="B53" t="s">
        <v>161</v>
      </c>
      <c r="C53" t="s">
        <v>9</v>
      </c>
      <c r="E53" t="s">
        <v>10</v>
      </c>
      <c r="F53" t="s">
        <v>11</v>
      </c>
      <c r="G53">
        <v>3916</v>
      </c>
      <c r="H53" t="str">
        <f>VLOOKUP(B53,Sheet1!C:D,2,0)</f>
        <v>CCTV11</v>
      </c>
    </row>
    <row r="54" spans="1:8" x14ac:dyDescent="0.25">
      <c r="A54" t="s">
        <v>251</v>
      </c>
      <c r="B54" t="s">
        <v>252</v>
      </c>
      <c r="C54" t="s">
        <v>9</v>
      </c>
      <c r="E54" t="s">
        <v>10</v>
      </c>
      <c r="F54" t="s">
        <v>11</v>
      </c>
      <c r="G54">
        <v>3683</v>
      </c>
      <c r="H54" t="str">
        <f>VLOOKUP(B54,Sheet1!C:D,2,0)</f>
        <v>CCTV11</v>
      </c>
    </row>
    <row r="55" spans="1:8" x14ac:dyDescent="0.25">
      <c r="A55" t="s">
        <v>475</v>
      </c>
      <c r="B55" t="s">
        <v>476</v>
      </c>
      <c r="C55" t="s">
        <v>9</v>
      </c>
      <c r="E55" t="s">
        <v>10</v>
      </c>
      <c r="F55" t="s">
        <v>11</v>
      </c>
      <c r="G55">
        <v>3917</v>
      </c>
      <c r="H55" t="str">
        <f>VLOOKUP(B55,Sheet1!C:D,2,0)</f>
        <v>CCTV11</v>
      </c>
    </row>
    <row r="56" spans="1:8" x14ac:dyDescent="0.25">
      <c r="A56" t="s">
        <v>28</v>
      </c>
      <c r="B56" t="s">
        <v>29</v>
      </c>
      <c r="C56" t="s">
        <v>9</v>
      </c>
      <c r="E56" t="s">
        <v>10</v>
      </c>
      <c r="F56" t="s">
        <v>11</v>
      </c>
      <c r="G56">
        <v>3905</v>
      </c>
      <c r="H56" t="str">
        <f>VLOOKUP(B56,Sheet1!C:D,2,0)</f>
        <v>CCTV12</v>
      </c>
    </row>
    <row r="57" spans="1:8" x14ac:dyDescent="0.25">
      <c r="A57" t="s">
        <v>369</v>
      </c>
      <c r="B57" t="s">
        <v>370</v>
      </c>
      <c r="C57" t="s">
        <v>9</v>
      </c>
      <c r="E57" t="s">
        <v>10</v>
      </c>
      <c r="F57" t="s">
        <v>11</v>
      </c>
      <c r="G57">
        <v>3869</v>
      </c>
      <c r="H57" t="str">
        <f>VLOOKUP(B57,Sheet1!C:D,2,0)</f>
        <v>CCTV12</v>
      </c>
    </row>
    <row r="58" spans="1:8" x14ac:dyDescent="0.25">
      <c r="A58" t="s">
        <v>389</v>
      </c>
      <c r="B58" t="s">
        <v>390</v>
      </c>
      <c r="C58" t="s">
        <v>9</v>
      </c>
      <c r="E58" t="s">
        <v>10</v>
      </c>
      <c r="F58" t="s">
        <v>11</v>
      </c>
      <c r="G58">
        <v>3961</v>
      </c>
      <c r="H58" t="str">
        <f>VLOOKUP(B58,Sheet1!C:D,2,0)</f>
        <v>CCTV12</v>
      </c>
    </row>
    <row r="59" spans="1:8" x14ac:dyDescent="0.25">
      <c r="A59" t="s">
        <v>875</v>
      </c>
      <c r="B59" t="s">
        <v>876</v>
      </c>
      <c r="C59" t="s">
        <v>9</v>
      </c>
      <c r="E59" t="s">
        <v>10</v>
      </c>
      <c r="F59" t="s">
        <v>11</v>
      </c>
      <c r="G59">
        <v>4842</v>
      </c>
      <c r="H59" t="str">
        <f>VLOOKUP(B59,Sheet1!C:D,2,0)</f>
        <v>CCTV12</v>
      </c>
    </row>
    <row r="60" spans="1:8" x14ac:dyDescent="0.25">
      <c r="A60" t="s">
        <v>983</v>
      </c>
      <c r="B60" t="s">
        <v>984</v>
      </c>
      <c r="C60" t="s">
        <v>9</v>
      </c>
      <c r="E60" t="s">
        <v>10</v>
      </c>
      <c r="F60" t="s">
        <v>11</v>
      </c>
      <c r="G60">
        <v>4788</v>
      </c>
      <c r="H60" t="str">
        <f>VLOOKUP(B60,Sheet1!C:D,2,0)</f>
        <v>CCTV12</v>
      </c>
    </row>
    <row r="61" spans="1:8" x14ac:dyDescent="0.25">
      <c r="A61" t="s">
        <v>1009</v>
      </c>
      <c r="B61" t="s">
        <v>1010</v>
      </c>
      <c r="C61" t="s">
        <v>9</v>
      </c>
      <c r="E61" t="s">
        <v>10</v>
      </c>
      <c r="F61" t="s">
        <v>11</v>
      </c>
      <c r="G61">
        <v>4691</v>
      </c>
      <c r="H61" t="str">
        <f>VLOOKUP(B61,Sheet1!C:D,2,0)</f>
        <v>CCTV12</v>
      </c>
    </row>
    <row r="62" spans="1:8" x14ac:dyDescent="0.25">
      <c r="A62" t="s">
        <v>1027</v>
      </c>
      <c r="B62" t="s">
        <v>1028</v>
      </c>
      <c r="C62" t="s">
        <v>9</v>
      </c>
      <c r="E62" t="s">
        <v>10</v>
      </c>
      <c r="F62" t="s">
        <v>11</v>
      </c>
      <c r="G62">
        <v>4719</v>
      </c>
      <c r="H62" t="str">
        <f>VLOOKUP(B62,Sheet1!C:D,2,0)</f>
        <v>CCTV12</v>
      </c>
    </row>
    <row r="63" spans="1:8" x14ac:dyDescent="0.25">
      <c r="A63" t="s">
        <v>30</v>
      </c>
      <c r="B63" t="s">
        <v>31</v>
      </c>
      <c r="C63" t="s">
        <v>9</v>
      </c>
      <c r="E63" t="s">
        <v>10</v>
      </c>
      <c r="F63" t="s">
        <v>11</v>
      </c>
      <c r="G63">
        <v>3923</v>
      </c>
      <c r="H63" t="str">
        <f>VLOOKUP(B63,Sheet1!C:D,2,0)</f>
        <v>CCTV13</v>
      </c>
    </row>
    <row r="64" spans="1:8" x14ac:dyDescent="0.25">
      <c r="A64" t="s">
        <v>162</v>
      </c>
      <c r="B64" t="s">
        <v>163</v>
      </c>
      <c r="C64" t="s">
        <v>9</v>
      </c>
      <c r="E64" t="s">
        <v>10</v>
      </c>
      <c r="F64" t="s">
        <v>11</v>
      </c>
      <c r="G64">
        <v>3952</v>
      </c>
      <c r="H64" t="str">
        <f>VLOOKUP(B64,Sheet1!C:D,2,0)</f>
        <v>CCTV13</v>
      </c>
    </row>
    <row r="65" spans="1:8" x14ac:dyDescent="0.25">
      <c r="A65" t="s">
        <v>601</v>
      </c>
      <c r="B65" t="s">
        <v>602</v>
      </c>
      <c r="C65" t="s">
        <v>9</v>
      </c>
      <c r="E65" t="s">
        <v>10</v>
      </c>
      <c r="F65" t="s">
        <v>11</v>
      </c>
      <c r="G65">
        <v>3838</v>
      </c>
      <c r="H65" t="str">
        <f>VLOOKUP(B65,Sheet1!C:D,2,0)</f>
        <v>CCTV13</v>
      </c>
    </row>
    <row r="66" spans="1:8" x14ac:dyDescent="0.25">
      <c r="A66" t="s">
        <v>693</v>
      </c>
      <c r="B66" t="s">
        <v>694</v>
      </c>
      <c r="C66" t="s">
        <v>9</v>
      </c>
      <c r="E66" t="s">
        <v>10</v>
      </c>
      <c r="F66" t="s">
        <v>11</v>
      </c>
      <c r="G66">
        <v>3858</v>
      </c>
      <c r="H66" t="str">
        <f>VLOOKUP(B66,Sheet1!C:D,2,0)</f>
        <v>CCTV13</v>
      </c>
    </row>
    <row r="67" spans="1:8" x14ac:dyDescent="0.25">
      <c r="A67" t="s">
        <v>751</v>
      </c>
      <c r="B67" t="s">
        <v>752</v>
      </c>
      <c r="C67" t="s">
        <v>9</v>
      </c>
      <c r="E67" t="s">
        <v>10</v>
      </c>
      <c r="F67" t="s">
        <v>11</v>
      </c>
      <c r="G67">
        <v>3876</v>
      </c>
      <c r="H67" t="str">
        <f>VLOOKUP(B67,Sheet1!C:D,2,0)</f>
        <v>CCTV13</v>
      </c>
    </row>
    <row r="68" spans="1:8" x14ac:dyDescent="0.25">
      <c r="A68" t="s">
        <v>1013</v>
      </c>
      <c r="B68" t="s">
        <v>1014</v>
      </c>
      <c r="C68" t="s">
        <v>9</v>
      </c>
      <c r="E68" t="s">
        <v>10</v>
      </c>
      <c r="F68" t="s">
        <v>11</v>
      </c>
      <c r="G68">
        <v>4747</v>
      </c>
      <c r="H68" t="str">
        <f>VLOOKUP(B68,Sheet1!C:D,2,0)</f>
        <v>CCTV13</v>
      </c>
    </row>
    <row r="69" spans="1:8" x14ac:dyDescent="0.25">
      <c r="A69" t="s">
        <v>1031</v>
      </c>
      <c r="B69" t="s">
        <v>1032</v>
      </c>
      <c r="C69" t="s">
        <v>9</v>
      </c>
      <c r="E69" t="s">
        <v>10</v>
      </c>
      <c r="F69" t="s">
        <v>11</v>
      </c>
      <c r="G69">
        <v>4777</v>
      </c>
      <c r="H69" t="str">
        <f>VLOOKUP(B69,Sheet1!C:D,2,0)</f>
        <v>CCTV13</v>
      </c>
    </row>
    <row r="70" spans="1:8" x14ac:dyDescent="0.25">
      <c r="A70" t="s">
        <v>92</v>
      </c>
      <c r="B70" t="s">
        <v>93</v>
      </c>
      <c r="C70" t="s">
        <v>9</v>
      </c>
      <c r="E70" t="s">
        <v>10</v>
      </c>
      <c r="F70" t="s">
        <v>11</v>
      </c>
      <c r="G70">
        <v>3895</v>
      </c>
      <c r="H70" t="str">
        <f>VLOOKUP(B70,Sheet1!C:D,2,0)</f>
        <v>CCTV14</v>
      </c>
    </row>
    <row r="71" spans="1:8" x14ac:dyDescent="0.25">
      <c r="A71" t="s">
        <v>391</v>
      </c>
      <c r="B71" t="s">
        <v>392</v>
      </c>
      <c r="C71" t="s">
        <v>9</v>
      </c>
      <c r="E71" t="s">
        <v>10</v>
      </c>
      <c r="F71" t="s">
        <v>11</v>
      </c>
      <c r="G71">
        <v>3943</v>
      </c>
      <c r="H71" t="str">
        <f>VLOOKUP(B71,Sheet1!C:D,2,0)</f>
        <v>CCTV14</v>
      </c>
    </row>
    <row r="72" spans="1:8" x14ac:dyDescent="0.25">
      <c r="A72" t="s">
        <v>439</v>
      </c>
      <c r="B72" t="s">
        <v>440</v>
      </c>
      <c r="C72" t="s">
        <v>9</v>
      </c>
      <c r="E72" t="s">
        <v>10</v>
      </c>
      <c r="F72" t="s">
        <v>11</v>
      </c>
      <c r="G72">
        <v>3922</v>
      </c>
      <c r="H72" t="str">
        <f>VLOOKUP(B72,Sheet1!C:D,2,0)</f>
        <v>CCTV14</v>
      </c>
    </row>
    <row r="73" spans="1:8" x14ac:dyDescent="0.25">
      <c r="A73" t="s">
        <v>987</v>
      </c>
      <c r="B73" t="s">
        <v>988</v>
      </c>
      <c r="C73" t="s">
        <v>9</v>
      </c>
      <c r="E73" t="s">
        <v>10</v>
      </c>
      <c r="F73" t="s">
        <v>11</v>
      </c>
      <c r="G73">
        <v>4717</v>
      </c>
      <c r="H73" t="str">
        <f>VLOOKUP(B73,Sheet1!C:D,2,0)</f>
        <v>CCTV14</v>
      </c>
    </row>
    <row r="74" spans="1:8" x14ac:dyDescent="0.25">
      <c r="A74" t="s">
        <v>991</v>
      </c>
      <c r="B74" t="s">
        <v>992</v>
      </c>
      <c r="C74" t="s">
        <v>9</v>
      </c>
      <c r="E74" t="s">
        <v>10</v>
      </c>
      <c r="F74" t="s">
        <v>11</v>
      </c>
      <c r="G74">
        <v>4789</v>
      </c>
      <c r="H74" t="str">
        <f>VLOOKUP(B74,Sheet1!C:D,2,0)</f>
        <v>CCTV14</v>
      </c>
    </row>
    <row r="75" spans="1:8" x14ac:dyDescent="0.25">
      <c r="A75" t="s">
        <v>1128</v>
      </c>
      <c r="B75" t="s">
        <v>1129</v>
      </c>
      <c r="C75" t="s">
        <v>9</v>
      </c>
      <c r="E75" t="s">
        <v>10</v>
      </c>
      <c r="F75" t="s">
        <v>11</v>
      </c>
      <c r="G75">
        <v>4692</v>
      </c>
      <c r="H75" t="str">
        <f>VLOOKUP(B75,Sheet1!C:D,2,0)</f>
        <v>CCTV1-4K</v>
      </c>
    </row>
    <row r="76" spans="1:8" x14ac:dyDescent="0.25">
      <c r="A76" t="s">
        <v>261</v>
      </c>
      <c r="B76" t="s">
        <v>262</v>
      </c>
      <c r="C76" t="s">
        <v>9</v>
      </c>
      <c r="E76" t="s">
        <v>10</v>
      </c>
      <c r="F76" t="s">
        <v>11</v>
      </c>
      <c r="G76">
        <v>3918</v>
      </c>
      <c r="H76" t="str">
        <f>VLOOKUP(B76,Sheet1!C:D,2,0)</f>
        <v>CCTV15</v>
      </c>
    </row>
    <row r="77" spans="1:8" x14ac:dyDescent="0.25">
      <c r="A77" t="s">
        <v>479</v>
      </c>
      <c r="B77" t="s">
        <v>480</v>
      </c>
      <c r="C77" t="s">
        <v>9</v>
      </c>
      <c r="E77" t="s">
        <v>10</v>
      </c>
      <c r="F77" t="s">
        <v>11</v>
      </c>
      <c r="G77">
        <v>3911</v>
      </c>
      <c r="H77" t="str">
        <f>VLOOKUP(B77,Sheet1!C:D,2,0)</f>
        <v>CCTV15</v>
      </c>
    </row>
    <row r="78" spans="1:8" x14ac:dyDescent="0.25">
      <c r="A78" t="s">
        <v>971</v>
      </c>
      <c r="B78" t="s">
        <v>972</v>
      </c>
      <c r="C78" t="s">
        <v>9</v>
      </c>
      <c r="E78" t="s">
        <v>10</v>
      </c>
      <c r="F78" t="s">
        <v>11</v>
      </c>
      <c r="G78">
        <v>4756</v>
      </c>
      <c r="H78" t="str">
        <f>VLOOKUP(B78,Sheet1!C:D,2,0)</f>
        <v>CCTV15</v>
      </c>
    </row>
    <row r="79" spans="1:8" x14ac:dyDescent="0.25">
      <c r="A79" t="s">
        <v>995</v>
      </c>
      <c r="B79" t="s">
        <v>996</v>
      </c>
      <c r="C79" t="s">
        <v>9</v>
      </c>
      <c r="E79" t="s">
        <v>10</v>
      </c>
      <c r="F79" t="s">
        <v>11</v>
      </c>
      <c r="G79">
        <v>4736</v>
      </c>
      <c r="H79" t="str">
        <f>VLOOKUP(B79,Sheet1!C:D,2,0)</f>
        <v>CCTV15</v>
      </c>
    </row>
    <row r="80" spans="1:8" x14ac:dyDescent="0.25">
      <c r="A80" t="s">
        <v>593</v>
      </c>
      <c r="B80" t="s">
        <v>594</v>
      </c>
      <c r="C80" t="s">
        <v>9</v>
      </c>
      <c r="E80" t="s">
        <v>10</v>
      </c>
      <c r="F80" t="s">
        <v>11</v>
      </c>
      <c r="G80">
        <v>3850</v>
      </c>
      <c r="H80" t="str">
        <f>VLOOKUP(B80,Sheet1!C:D,2,0)</f>
        <v>CCTV16</v>
      </c>
    </row>
    <row r="81" spans="1:8" x14ac:dyDescent="0.25">
      <c r="A81" t="s">
        <v>625</v>
      </c>
      <c r="B81" t="s">
        <v>626</v>
      </c>
      <c r="C81" t="s">
        <v>9</v>
      </c>
      <c r="E81" t="s">
        <v>10</v>
      </c>
      <c r="F81" t="s">
        <v>11</v>
      </c>
      <c r="G81">
        <v>3872</v>
      </c>
      <c r="H81" t="str">
        <f>VLOOKUP(B81,Sheet1!C:D,2,0)</f>
        <v>CCTV16</v>
      </c>
    </row>
    <row r="82" spans="1:8" x14ac:dyDescent="0.25">
      <c r="A82" t="s">
        <v>747</v>
      </c>
      <c r="B82" t="s">
        <v>748</v>
      </c>
      <c r="C82" t="s">
        <v>9</v>
      </c>
      <c r="E82" t="s">
        <v>10</v>
      </c>
      <c r="F82" t="s">
        <v>11</v>
      </c>
      <c r="G82">
        <v>3862</v>
      </c>
      <c r="H82" t="str">
        <f>VLOOKUP(B82,Sheet1!C:D,2,0)</f>
        <v>CCTV16</v>
      </c>
    </row>
    <row r="83" spans="1:8" x14ac:dyDescent="0.25">
      <c r="A83" t="s">
        <v>975</v>
      </c>
      <c r="B83" t="s">
        <v>976</v>
      </c>
      <c r="C83" t="s">
        <v>9</v>
      </c>
      <c r="E83" t="s">
        <v>10</v>
      </c>
      <c r="F83" t="s">
        <v>11</v>
      </c>
      <c r="G83">
        <v>4805</v>
      </c>
      <c r="H83" t="str">
        <f>VLOOKUP(B83,Sheet1!C:D,2,0)</f>
        <v>CCTV16</v>
      </c>
    </row>
    <row r="84" spans="1:8" x14ac:dyDescent="0.25">
      <c r="A84" t="s">
        <v>309</v>
      </c>
      <c r="B84" t="s">
        <v>310</v>
      </c>
      <c r="C84" t="s">
        <v>9</v>
      </c>
      <c r="E84" t="s">
        <v>10</v>
      </c>
      <c r="F84" t="s">
        <v>11</v>
      </c>
      <c r="G84">
        <v>3967</v>
      </c>
      <c r="H84" t="str">
        <f>VLOOKUP(B84,Sheet1!C:D,2,0)</f>
        <v>CCTV17</v>
      </c>
    </row>
    <row r="85" spans="1:8" x14ac:dyDescent="0.25">
      <c r="A85" t="s">
        <v>321</v>
      </c>
      <c r="B85" t="s">
        <v>322</v>
      </c>
      <c r="C85" t="s">
        <v>9</v>
      </c>
      <c r="E85" t="s">
        <v>10</v>
      </c>
      <c r="F85" t="s">
        <v>11</v>
      </c>
      <c r="G85">
        <v>3938</v>
      </c>
      <c r="H85" t="str">
        <f>VLOOKUP(B85,Sheet1!C:D,2,0)</f>
        <v>CCTV17</v>
      </c>
    </row>
    <row r="86" spans="1:8" x14ac:dyDescent="0.25">
      <c r="A86" t="s">
        <v>325</v>
      </c>
      <c r="B86" t="s">
        <v>326</v>
      </c>
      <c r="C86" t="s">
        <v>9</v>
      </c>
      <c r="E86" t="s">
        <v>10</v>
      </c>
      <c r="F86" t="s">
        <v>11</v>
      </c>
      <c r="G86">
        <v>3915</v>
      </c>
      <c r="H86" t="str">
        <f>VLOOKUP(B86,Sheet1!C:D,2,0)</f>
        <v>CCTV17</v>
      </c>
    </row>
    <row r="87" spans="1:8" x14ac:dyDescent="0.25">
      <c r="A87" t="s">
        <v>483</v>
      </c>
      <c r="B87" t="s">
        <v>484</v>
      </c>
      <c r="C87" t="s">
        <v>9</v>
      </c>
      <c r="E87" t="s">
        <v>10</v>
      </c>
      <c r="F87" t="s">
        <v>11</v>
      </c>
      <c r="G87">
        <v>3917</v>
      </c>
      <c r="H87" t="str">
        <f>VLOOKUP(B87,Sheet1!C:D,2,0)</f>
        <v>CCTV17</v>
      </c>
    </row>
    <row r="88" spans="1:8" x14ac:dyDescent="0.25">
      <c r="A88" t="s">
        <v>981</v>
      </c>
      <c r="B88" t="s">
        <v>982</v>
      </c>
      <c r="C88" t="s">
        <v>9</v>
      </c>
      <c r="E88" t="s">
        <v>10</v>
      </c>
      <c r="F88" t="s">
        <v>11</v>
      </c>
      <c r="G88">
        <v>4841</v>
      </c>
      <c r="H88" t="str">
        <f>VLOOKUP(B88,Sheet1!C:D,2,0)</f>
        <v>CCTV17</v>
      </c>
    </row>
    <row r="89" spans="1:8" x14ac:dyDescent="0.25">
      <c r="A89" t="s">
        <v>1001</v>
      </c>
      <c r="B89" t="s">
        <v>1002</v>
      </c>
      <c r="C89" t="s">
        <v>9</v>
      </c>
      <c r="E89" t="s">
        <v>10</v>
      </c>
      <c r="F89" t="s">
        <v>11</v>
      </c>
      <c r="G89">
        <v>4700</v>
      </c>
      <c r="H89" t="str">
        <f>VLOOKUP(B89,Sheet1!C:D,2,0)</f>
        <v>CCTV17</v>
      </c>
    </row>
    <row r="90" spans="1:8" x14ac:dyDescent="0.25">
      <c r="A90" t="s">
        <v>78</v>
      </c>
      <c r="B90" t="s">
        <v>79</v>
      </c>
      <c r="C90" t="s">
        <v>9</v>
      </c>
      <c r="E90" t="s">
        <v>10</v>
      </c>
      <c r="F90" t="s">
        <v>11</v>
      </c>
      <c r="G90">
        <v>3926</v>
      </c>
      <c r="H90" t="str">
        <f>VLOOKUP(B90,Sheet1!C:D,2,0)</f>
        <v>CCTV2</v>
      </c>
    </row>
    <row r="91" spans="1:8" x14ac:dyDescent="0.25">
      <c r="A91" t="s">
        <v>96</v>
      </c>
      <c r="B91" t="s">
        <v>97</v>
      </c>
      <c r="C91" t="s">
        <v>9</v>
      </c>
      <c r="E91" t="s">
        <v>10</v>
      </c>
      <c r="F91" t="s">
        <v>11</v>
      </c>
      <c r="G91">
        <v>3969</v>
      </c>
      <c r="H91" t="str">
        <f>VLOOKUP(B91,Sheet1!C:D,2,0)</f>
        <v>CCTV2</v>
      </c>
    </row>
    <row r="92" spans="1:8" x14ac:dyDescent="0.25">
      <c r="A92" t="s">
        <v>184</v>
      </c>
      <c r="B92" t="s">
        <v>185</v>
      </c>
      <c r="C92" t="s">
        <v>9</v>
      </c>
      <c r="E92" t="s">
        <v>10</v>
      </c>
      <c r="F92" t="s">
        <v>11</v>
      </c>
      <c r="G92">
        <v>3924</v>
      </c>
      <c r="H92" t="str">
        <f>VLOOKUP(B92,Sheet1!C:D,2,0)</f>
        <v>CCTV2</v>
      </c>
    </row>
    <row r="93" spans="1:8" x14ac:dyDescent="0.25">
      <c r="A93" t="s">
        <v>269</v>
      </c>
      <c r="B93" t="s">
        <v>270</v>
      </c>
      <c r="C93" t="s">
        <v>9</v>
      </c>
      <c r="E93" t="s">
        <v>10</v>
      </c>
      <c r="F93" t="s">
        <v>11</v>
      </c>
      <c r="G93">
        <v>3900</v>
      </c>
      <c r="H93" t="str">
        <f>VLOOKUP(B93,Sheet1!C:D,2,0)</f>
        <v>CCTV2</v>
      </c>
    </row>
    <row r="94" spans="1:8" x14ac:dyDescent="0.25">
      <c r="A94" t="s">
        <v>445</v>
      </c>
      <c r="B94" t="s">
        <v>446</v>
      </c>
      <c r="C94" t="s">
        <v>9</v>
      </c>
      <c r="E94" t="s">
        <v>10</v>
      </c>
      <c r="F94" t="s">
        <v>11</v>
      </c>
      <c r="G94">
        <v>3942</v>
      </c>
      <c r="H94" t="str">
        <f>VLOOKUP(B94,Sheet1!C:D,2,0)</f>
        <v>CCTV2</v>
      </c>
    </row>
    <row r="95" spans="1:8" x14ac:dyDescent="0.25">
      <c r="A95" t="s">
        <v>463</v>
      </c>
      <c r="B95" t="s">
        <v>464</v>
      </c>
      <c r="C95" t="s">
        <v>9</v>
      </c>
      <c r="E95" t="s">
        <v>10</v>
      </c>
      <c r="F95" t="s">
        <v>11</v>
      </c>
      <c r="G95">
        <v>3882</v>
      </c>
      <c r="H95" t="str">
        <f>VLOOKUP(B95,Sheet1!C:D,2,0)</f>
        <v>CCTV2</v>
      </c>
    </row>
    <row r="96" spans="1:8" x14ac:dyDescent="0.25">
      <c r="A96" t="s">
        <v>577</v>
      </c>
      <c r="B96" t="s">
        <v>578</v>
      </c>
      <c r="C96" t="s">
        <v>9</v>
      </c>
      <c r="E96" t="s">
        <v>10</v>
      </c>
      <c r="F96" t="s">
        <v>11</v>
      </c>
      <c r="G96">
        <v>3888</v>
      </c>
      <c r="H96" t="str">
        <f>VLOOKUP(B96,Sheet1!C:D,2,0)</f>
        <v>CCTV2</v>
      </c>
    </row>
    <row r="97" spans="1:8" x14ac:dyDescent="0.25">
      <c r="A97" t="s">
        <v>599</v>
      </c>
      <c r="B97" t="s">
        <v>600</v>
      </c>
      <c r="C97" t="s">
        <v>9</v>
      </c>
      <c r="E97" t="s">
        <v>10</v>
      </c>
      <c r="F97" t="s">
        <v>11</v>
      </c>
      <c r="G97">
        <v>3897</v>
      </c>
      <c r="H97" t="str">
        <f>VLOOKUP(B97,Sheet1!C:D,2,0)</f>
        <v>CCTV2</v>
      </c>
    </row>
    <row r="98" spans="1:8" x14ac:dyDescent="0.25">
      <c r="A98" t="s">
        <v>729</v>
      </c>
      <c r="B98" t="s">
        <v>730</v>
      </c>
      <c r="C98" t="s">
        <v>9</v>
      </c>
      <c r="E98" t="s">
        <v>10</v>
      </c>
      <c r="F98" t="s">
        <v>11</v>
      </c>
      <c r="G98">
        <v>3864</v>
      </c>
      <c r="H98" t="str">
        <f>VLOOKUP(B98,Sheet1!C:D,2,0)</f>
        <v>CCTV2</v>
      </c>
    </row>
    <row r="99" spans="1:8" x14ac:dyDescent="0.25">
      <c r="A99" t="s">
        <v>957</v>
      </c>
      <c r="B99" t="s">
        <v>958</v>
      </c>
      <c r="C99" t="s">
        <v>9</v>
      </c>
      <c r="E99" t="s">
        <v>10</v>
      </c>
      <c r="F99" t="s">
        <v>11</v>
      </c>
      <c r="G99">
        <v>4808</v>
      </c>
      <c r="H99" t="str">
        <f>VLOOKUP(B99,Sheet1!C:D,2,0)</f>
        <v>CCTV2</v>
      </c>
    </row>
    <row r="100" spans="1:8" x14ac:dyDescent="0.25">
      <c r="A100" t="s">
        <v>1220</v>
      </c>
      <c r="B100" t="s">
        <v>1221</v>
      </c>
      <c r="C100" t="s">
        <v>9</v>
      </c>
      <c r="E100" t="s">
        <v>10</v>
      </c>
      <c r="F100" t="s">
        <v>11</v>
      </c>
      <c r="G100">
        <v>4540</v>
      </c>
      <c r="H100" t="str">
        <f>VLOOKUP(B100,Sheet1!C:D,2,0)</f>
        <v>CCTV2</v>
      </c>
    </row>
    <row r="101" spans="1:8" x14ac:dyDescent="0.25">
      <c r="A101" t="s">
        <v>34</v>
      </c>
      <c r="B101" t="s">
        <v>35</v>
      </c>
      <c r="C101" t="s">
        <v>9</v>
      </c>
      <c r="E101" t="s">
        <v>10</v>
      </c>
      <c r="F101" t="s">
        <v>11</v>
      </c>
      <c r="G101">
        <v>3940</v>
      </c>
      <c r="H101" t="str">
        <f>VLOOKUP(B101,Sheet1!C:D,2,0)</f>
        <v>CCTV3</v>
      </c>
    </row>
    <row r="102" spans="1:8" x14ac:dyDescent="0.25">
      <c r="A102" t="s">
        <v>126</v>
      </c>
      <c r="B102" t="s">
        <v>127</v>
      </c>
      <c r="C102" t="s">
        <v>9</v>
      </c>
      <c r="E102" t="s">
        <v>10</v>
      </c>
      <c r="F102" t="s">
        <v>11</v>
      </c>
      <c r="G102">
        <v>3912</v>
      </c>
      <c r="H102" t="str">
        <f>VLOOKUP(B102,Sheet1!C:D,2,0)</f>
        <v>CCTV3</v>
      </c>
    </row>
    <row r="103" spans="1:8" x14ac:dyDescent="0.25">
      <c r="A103" t="s">
        <v>182</v>
      </c>
      <c r="B103" t="s">
        <v>183</v>
      </c>
      <c r="C103" t="s">
        <v>9</v>
      </c>
      <c r="E103" t="s">
        <v>10</v>
      </c>
      <c r="F103" t="s">
        <v>11</v>
      </c>
      <c r="G103">
        <v>3872</v>
      </c>
      <c r="H103" t="str">
        <f>VLOOKUP(B103,Sheet1!C:D,2,0)</f>
        <v>CCTV3</v>
      </c>
    </row>
    <row r="104" spans="1:8" x14ac:dyDescent="0.25">
      <c r="A104" t="s">
        <v>275</v>
      </c>
      <c r="B104" t="s">
        <v>276</v>
      </c>
      <c r="C104" t="s">
        <v>9</v>
      </c>
      <c r="E104" t="s">
        <v>10</v>
      </c>
      <c r="F104" t="s">
        <v>11</v>
      </c>
      <c r="G104">
        <v>3962</v>
      </c>
      <c r="H104" t="str">
        <f>VLOOKUP(B104,Sheet1!C:D,2,0)</f>
        <v>CCTV3</v>
      </c>
    </row>
    <row r="105" spans="1:8" x14ac:dyDescent="0.25">
      <c r="A105" t="s">
        <v>355</v>
      </c>
      <c r="B105" t="s">
        <v>356</v>
      </c>
      <c r="C105" t="s">
        <v>9</v>
      </c>
      <c r="E105" t="s">
        <v>10</v>
      </c>
      <c r="F105" t="s">
        <v>11</v>
      </c>
      <c r="G105">
        <v>3897</v>
      </c>
      <c r="H105" t="str">
        <f>VLOOKUP(B105,Sheet1!C:D,2,0)</f>
        <v>CCTV3</v>
      </c>
    </row>
    <row r="106" spans="1:8" x14ac:dyDescent="0.25">
      <c r="A106" t="s">
        <v>383</v>
      </c>
      <c r="B106" t="s">
        <v>384</v>
      </c>
      <c r="C106" t="s">
        <v>9</v>
      </c>
      <c r="E106" t="s">
        <v>10</v>
      </c>
      <c r="F106" t="s">
        <v>11</v>
      </c>
      <c r="G106">
        <v>3959</v>
      </c>
      <c r="H106" t="str">
        <f>VLOOKUP(B106,Sheet1!C:D,2,0)</f>
        <v>CCTV3</v>
      </c>
    </row>
    <row r="107" spans="1:8" x14ac:dyDescent="0.25">
      <c r="A107" t="s">
        <v>607</v>
      </c>
      <c r="B107" t="s">
        <v>608</v>
      </c>
      <c r="C107" t="s">
        <v>9</v>
      </c>
      <c r="E107" t="s">
        <v>10</v>
      </c>
      <c r="F107" t="s">
        <v>11</v>
      </c>
      <c r="G107">
        <v>3904</v>
      </c>
      <c r="H107" t="str">
        <f>VLOOKUP(B107,Sheet1!C:D,2,0)</f>
        <v>CCTV3</v>
      </c>
    </row>
    <row r="108" spans="1:8" x14ac:dyDescent="0.25">
      <c r="A108" t="s">
        <v>667</v>
      </c>
      <c r="B108" t="s">
        <v>668</v>
      </c>
      <c r="C108" t="s">
        <v>9</v>
      </c>
      <c r="E108" t="s">
        <v>10</v>
      </c>
      <c r="F108" t="s">
        <v>11</v>
      </c>
      <c r="G108">
        <v>3839</v>
      </c>
      <c r="H108" t="str">
        <f>VLOOKUP(B108,Sheet1!C:D,2,0)</f>
        <v>CCTV3</v>
      </c>
    </row>
    <row r="109" spans="1:8" x14ac:dyDescent="0.25">
      <c r="A109" t="s">
        <v>709</v>
      </c>
      <c r="B109" t="s">
        <v>710</v>
      </c>
      <c r="C109" t="s">
        <v>9</v>
      </c>
      <c r="E109" t="s">
        <v>10</v>
      </c>
      <c r="F109" t="s">
        <v>11</v>
      </c>
      <c r="G109">
        <v>3855</v>
      </c>
      <c r="H109" t="str">
        <f>VLOOKUP(B109,Sheet1!C:D,2,0)</f>
        <v>CCTV3</v>
      </c>
    </row>
    <row r="110" spans="1:8" x14ac:dyDescent="0.25">
      <c r="A110" t="s">
        <v>757</v>
      </c>
      <c r="B110" t="s">
        <v>758</v>
      </c>
      <c r="C110" t="s">
        <v>9</v>
      </c>
      <c r="E110" t="s">
        <v>10</v>
      </c>
      <c r="F110" t="s">
        <v>11</v>
      </c>
      <c r="G110">
        <v>3873</v>
      </c>
      <c r="H110" t="str">
        <f>VLOOKUP(B110,Sheet1!C:D,2,0)</f>
        <v>CCTV3</v>
      </c>
    </row>
    <row r="111" spans="1:8" x14ac:dyDescent="0.25">
      <c r="A111" t="s">
        <v>14</v>
      </c>
      <c r="B111" t="s">
        <v>15</v>
      </c>
      <c r="C111" t="s">
        <v>9</v>
      </c>
      <c r="E111" t="s">
        <v>10</v>
      </c>
      <c r="F111" t="s">
        <v>11</v>
      </c>
      <c r="G111">
        <v>3921</v>
      </c>
      <c r="H111" t="str">
        <f>VLOOKUP(B111,Sheet1!C:D,2,0)</f>
        <v>CCTV4</v>
      </c>
    </row>
    <row r="112" spans="1:8" x14ac:dyDescent="0.25">
      <c r="A112" t="s">
        <v>152</v>
      </c>
      <c r="B112" t="s">
        <v>153</v>
      </c>
      <c r="C112" t="s">
        <v>9</v>
      </c>
      <c r="E112" t="s">
        <v>10</v>
      </c>
      <c r="F112" t="s">
        <v>11</v>
      </c>
      <c r="G112">
        <v>3927</v>
      </c>
      <c r="H112" t="str">
        <f>VLOOKUP(B112,Sheet1!C:D,2,0)</f>
        <v>CCTV4</v>
      </c>
    </row>
    <row r="113" spans="1:8" x14ac:dyDescent="0.25">
      <c r="A113" t="s">
        <v>222</v>
      </c>
      <c r="B113" t="s">
        <v>223</v>
      </c>
      <c r="C113" t="s">
        <v>9</v>
      </c>
      <c r="E113" t="s">
        <v>10</v>
      </c>
      <c r="F113" t="s">
        <v>11</v>
      </c>
      <c r="G113">
        <v>3884</v>
      </c>
      <c r="H113" t="str">
        <f>VLOOKUP(B113,Sheet1!C:D,2,0)</f>
        <v>CCTV4</v>
      </c>
    </row>
    <row r="114" spans="1:8" x14ac:dyDescent="0.25">
      <c r="A114" t="s">
        <v>281</v>
      </c>
      <c r="B114" t="s">
        <v>282</v>
      </c>
      <c r="C114" t="s">
        <v>9</v>
      </c>
      <c r="E114" t="s">
        <v>10</v>
      </c>
      <c r="F114" t="s">
        <v>11</v>
      </c>
      <c r="G114">
        <v>3956</v>
      </c>
      <c r="H114" t="str">
        <f>VLOOKUP(B114,Sheet1!C:D,2,0)</f>
        <v>CCTV4</v>
      </c>
    </row>
    <row r="115" spans="1:8" x14ac:dyDescent="0.25">
      <c r="A115" t="s">
        <v>393</v>
      </c>
      <c r="B115" t="s">
        <v>394</v>
      </c>
      <c r="C115" t="s">
        <v>9</v>
      </c>
      <c r="E115" t="s">
        <v>10</v>
      </c>
      <c r="F115" t="s">
        <v>11</v>
      </c>
      <c r="G115">
        <v>3931</v>
      </c>
      <c r="H115" t="str">
        <f>VLOOKUP(B115,Sheet1!C:D,2,0)</f>
        <v>CCTV4</v>
      </c>
    </row>
    <row r="116" spans="1:8" x14ac:dyDescent="0.25">
      <c r="A116" t="s">
        <v>425</v>
      </c>
      <c r="B116" t="s">
        <v>426</v>
      </c>
      <c r="C116" t="s">
        <v>9</v>
      </c>
      <c r="E116" t="s">
        <v>10</v>
      </c>
      <c r="F116" t="s">
        <v>11</v>
      </c>
      <c r="G116">
        <v>3905</v>
      </c>
      <c r="H116" t="str">
        <f>VLOOKUP(B116,Sheet1!C:D,2,0)</f>
        <v>CCTV4</v>
      </c>
    </row>
    <row r="117" spans="1:8" x14ac:dyDescent="0.25">
      <c r="A117" t="s">
        <v>575</v>
      </c>
      <c r="B117" t="s">
        <v>576</v>
      </c>
      <c r="C117" t="s">
        <v>9</v>
      </c>
      <c r="E117" t="s">
        <v>10</v>
      </c>
      <c r="F117" t="s">
        <v>11</v>
      </c>
      <c r="G117">
        <v>3875</v>
      </c>
      <c r="H117" t="str">
        <f>VLOOKUP(B117,Sheet1!C:D,2,0)</f>
        <v>CCTV4</v>
      </c>
    </row>
    <row r="118" spans="1:8" x14ac:dyDescent="0.25">
      <c r="A118" t="s">
        <v>639</v>
      </c>
      <c r="B118" t="s">
        <v>640</v>
      </c>
      <c r="C118" t="s">
        <v>9</v>
      </c>
      <c r="E118" t="s">
        <v>10</v>
      </c>
      <c r="F118" t="s">
        <v>11</v>
      </c>
      <c r="G118">
        <v>3895</v>
      </c>
      <c r="H118" t="str">
        <f>VLOOKUP(B118,Sheet1!C:D,2,0)</f>
        <v>CCTV4</v>
      </c>
    </row>
    <row r="119" spans="1:8" x14ac:dyDescent="0.25">
      <c r="A119" t="s">
        <v>733</v>
      </c>
      <c r="B119" t="s">
        <v>734</v>
      </c>
      <c r="C119" t="s">
        <v>9</v>
      </c>
      <c r="E119" t="s">
        <v>10</v>
      </c>
      <c r="F119" t="s">
        <v>11</v>
      </c>
      <c r="G119">
        <v>3879</v>
      </c>
      <c r="H119" t="str">
        <f>VLOOKUP(B119,Sheet1!C:D,2,0)</f>
        <v>CCTV4</v>
      </c>
    </row>
    <row r="120" spans="1:8" x14ac:dyDescent="0.25">
      <c r="A120" t="s">
        <v>86</v>
      </c>
      <c r="B120" t="s">
        <v>87</v>
      </c>
      <c r="C120" t="s">
        <v>9</v>
      </c>
      <c r="E120" t="s">
        <v>10</v>
      </c>
      <c r="F120" t="s">
        <v>11</v>
      </c>
      <c r="G120">
        <v>3974</v>
      </c>
      <c r="H120" t="str">
        <f>VLOOKUP(B120,Sheet1!C:D,2,0)</f>
        <v>CCTV5</v>
      </c>
    </row>
    <row r="121" spans="1:8" x14ac:dyDescent="0.25">
      <c r="A121" t="s">
        <v>128</v>
      </c>
      <c r="B121" t="s">
        <v>129</v>
      </c>
      <c r="C121" t="s">
        <v>9</v>
      </c>
      <c r="E121" t="s">
        <v>10</v>
      </c>
      <c r="F121" t="s">
        <v>11</v>
      </c>
      <c r="G121">
        <v>3823</v>
      </c>
      <c r="H121" t="str">
        <f>VLOOKUP(B121,Sheet1!C:D,2,0)</f>
        <v>CCTV5</v>
      </c>
    </row>
    <row r="122" spans="1:8" x14ac:dyDescent="0.25">
      <c r="A122" t="s">
        <v>172</v>
      </c>
      <c r="B122" t="s">
        <v>173</v>
      </c>
      <c r="C122" t="s">
        <v>9</v>
      </c>
      <c r="E122" t="s">
        <v>10</v>
      </c>
      <c r="F122" t="s">
        <v>11</v>
      </c>
      <c r="G122">
        <v>3879</v>
      </c>
      <c r="H122" t="str">
        <f>VLOOKUP(B122,Sheet1!C:D,2,0)</f>
        <v>CCTV5</v>
      </c>
    </row>
    <row r="123" spans="1:8" x14ac:dyDescent="0.25">
      <c r="A123" t="s">
        <v>259</v>
      </c>
      <c r="B123" t="s">
        <v>260</v>
      </c>
      <c r="C123" t="s">
        <v>9</v>
      </c>
      <c r="E123" t="s">
        <v>10</v>
      </c>
      <c r="F123" t="s">
        <v>11</v>
      </c>
      <c r="G123">
        <v>3929</v>
      </c>
      <c r="H123" t="str">
        <f>VLOOKUP(B123,Sheet1!C:D,2,0)</f>
        <v>CCTV5</v>
      </c>
    </row>
    <row r="124" spans="1:8" x14ac:dyDescent="0.25">
      <c r="A124" t="s">
        <v>345</v>
      </c>
      <c r="B124" t="s">
        <v>346</v>
      </c>
      <c r="C124" t="s">
        <v>9</v>
      </c>
      <c r="E124" t="s">
        <v>10</v>
      </c>
      <c r="F124" t="s">
        <v>11</v>
      </c>
      <c r="G124">
        <v>3886</v>
      </c>
      <c r="H124" t="str">
        <f>VLOOKUP(B124,Sheet1!C:D,2,0)</f>
        <v>CCTV5</v>
      </c>
    </row>
    <row r="125" spans="1:8" x14ac:dyDescent="0.25">
      <c r="A125" t="s">
        <v>373</v>
      </c>
      <c r="B125" t="s">
        <v>374</v>
      </c>
      <c r="C125" t="s">
        <v>9</v>
      </c>
      <c r="E125" t="s">
        <v>10</v>
      </c>
      <c r="F125" t="s">
        <v>11</v>
      </c>
      <c r="G125">
        <v>3868</v>
      </c>
      <c r="H125" t="str">
        <f>VLOOKUP(B125,Sheet1!C:D,2,0)</f>
        <v>CCTV5</v>
      </c>
    </row>
    <row r="126" spans="1:8" x14ac:dyDescent="0.25">
      <c r="A126" t="s">
        <v>397</v>
      </c>
      <c r="B126" t="s">
        <v>398</v>
      </c>
      <c r="C126" t="s">
        <v>9</v>
      </c>
      <c r="E126" t="s">
        <v>10</v>
      </c>
      <c r="F126" t="s">
        <v>11</v>
      </c>
      <c r="G126">
        <v>3876</v>
      </c>
      <c r="H126" t="str">
        <f>VLOOKUP(B126,Sheet1!C:D,2,0)</f>
        <v>CCTV5</v>
      </c>
    </row>
    <row r="127" spans="1:8" x14ac:dyDescent="0.25">
      <c r="A127" t="s">
        <v>429</v>
      </c>
      <c r="B127" t="s">
        <v>430</v>
      </c>
      <c r="C127" t="s">
        <v>9</v>
      </c>
      <c r="E127" t="s">
        <v>10</v>
      </c>
      <c r="F127" t="s">
        <v>11</v>
      </c>
      <c r="G127">
        <v>3869</v>
      </c>
      <c r="H127" t="str">
        <f>VLOOKUP(B127,Sheet1!C:D,2,0)</f>
        <v>CCTV5</v>
      </c>
    </row>
    <row r="128" spans="1:8" x14ac:dyDescent="0.25">
      <c r="A128" t="s">
        <v>571</v>
      </c>
      <c r="B128" t="s">
        <v>572</v>
      </c>
      <c r="C128" t="s">
        <v>9</v>
      </c>
      <c r="E128" t="s">
        <v>10</v>
      </c>
      <c r="F128" t="s">
        <v>11</v>
      </c>
      <c r="G128">
        <v>3950</v>
      </c>
      <c r="H128" t="str">
        <f>VLOOKUP(B128,Sheet1!C:D,2,0)</f>
        <v>CCTV5</v>
      </c>
    </row>
    <row r="129" spans="1:8" x14ac:dyDescent="0.25">
      <c r="A129" t="s">
        <v>657</v>
      </c>
      <c r="B129" t="s">
        <v>658</v>
      </c>
      <c r="C129" t="s">
        <v>9</v>
      </c>
      <c r="E129" t="s">
        <v>10</v>
      </c>
      <c r="F129" t="s">
        <v>11</v>
      </c>
      <c r="G129">
        <v>3845</v>
      </c>
      <c r="H129" t="str">
        <f>VLOOKUP(B129,Sheet1!C:D,2,0)</f>
        <v>CCTV5</v>
      </c>
    </row>
    <row r="130" spans="1:8" x14ac:dyDescent="0.25">
      <c r="A130" t="s">
        <v>661</v>
      </c>
      <c r="B130" t="s">
        <v>662</v>
      </c>
      <c r="C130" t="s">
        <v>9</v>
      </c>
      <c r="E130" t="s">
        <v>10</v>
      </c>
      <c r="F130" t="s">
        <v>11</v>
      </c>
      <c r="G130">
        <v>3861</v>
      </c>
      <c r="H130" t="str">
        <f>VLOOKUP(B130,Sheet1!C:D,2,0)</f>
        <v>CCTV5</v>
      </c>
    </row>
    <row r="131" spans="1:8" x14ac:dyDescent="0.25">
      <c r="A131" t="s">
        <v>759</v>
      </c>
      <c r="B131" t="s">
        <v>760</v>
      </c>
      <c r="C131" t="s">
        <v>9</v>
      </c>
      <c r="E131" t="s">
        <v>10</v>
      </c>
      <c r="F131" t="s">
        <v>11</v>
      </c>
      <c r="G131">
        <v>3913</v>
      </c>
      <c r="H131" t="str">
        <f>VLOOKUP(B131,Sheet1!C:D,2,0)</f>
        <v>CCTV5</v>
      </c>
    </row>
    <row r="132" spans="1:8" x14ac:dyDescent="0.25">
      <c r="A132" t="s">
        <v>36</v>
      </c>
      <c r="B132" t="s">
        <v>37</v>
      </c>
      <c r="C132" t="s">
        <v>9</v>
      </c>
      <c r="E132" t="s">
        <v>10</v>
      </c>
      <c r="F132" t="s">
        <v>11</v>
      </c>
      <c r="G132">
        <v>3941</v>
      </c>
      <c r="H132" t="str">
        <f>VLOOKUP(B132,Sheet1!C:D,2,0)</f>
        <v>CCTV5+</v>
      </c>
    </row>
    <row r="133" spans="1:8" x14ac:dyDescent="0.25">
      <c r="A133" t="s">
        <v>156</v>
      </c>
      <c r="B133" t="s">
        <v>157</v>
      </c>
      <c r="C133" t="s">
        <v>9</v>
      </c>
      <c r="E133" t="s">
        <v>10</v>
      </c>
      <c r="F133" t="s">
        <v>11</v>
      </c>
      <c r="G133">
        <v>3850</v>
      </c>
      <c r="H133" t="str">
        <f>VLOOKUP(B133,Sheet1!C:D,2,0)</f>
        <v>CCTV5+</v>
      </c>
    </row>
    <row r="134" spans="1:8" x14ac:dyDescent="0.25">
      <c r="A134" t="s">
        <v>212</v>
      </c>
      <c r="B134" t="s">
        <v>213</v>
      </c>
      <c r="C134" t="s">
        <v>9</v>
      </c>
      <c r="E134" t="s">
        <v>10</v>
      </c>
      <c r="F134" t="s">
        <v>11</v>
      </c>
      <c r="G134">
        <v>3846</v>
      </c>
      <c r="H134" t="str">
        <f>VLOOKUP(B134,Sheet1!C:D,2,0)</f>
        <v>CCTV5+</v>
      </c>
    </row>
    <row r="135" spans="1:8" x14ac:dyDescent="0.25">
      <c r="A135" t="s">
        <v>232</v>
      </c>
      <c r="B135" t="s">
        <v>233</v>
      </c>
      <c r="C135" t="s">
        <v>9</v>
      </c>
      <c r="E135" t="s">
        <v>10</v>
      </c>
      <c r="F135" t="s">
        <v>11</v>
      </c>
      <c r="G135">
        <v>3860</v>
      </c>
      <c r="H135" t="str">
        <f>VLOOKUP(B135,Sheet1!C:D,2,0)</f>
        <v>CCTV5+</v>
      </c>
    </row>
    <row r="136" spans="1:8" x14ac:dyDescent="0.25">
      <c r="A136" t="s">
        <v>361</v>
      </c>
      <c r="B136" t="s">
        <v>362</v>
      </c>
      <c r="C136" t="s">
        <v>9</v>
      </c>
      <c r="E136" t="s">
        <v>10</v>
      </c>
      <c r="F136" t="s">
        <v>11</v>
      </c>
      <c r="G136">
        <v>3985</v>
      </c>
      <c r="H136" t="str">
        <f>VLOOKUP(B136,Sheet1!C:D,2,0)</f>
        <v>CCTV5+</v>
      </c>
    </row>
    <row r="137" spans="1:8" x14ac:dyDescent="0.25">
      <c r="A137" t="s">
        <v>427</v>
      </c>
      <c r="B137" t="s">
        <v>428</v>
      </c>
      <c r="C137" t="s">
        <v>9</v>
      </c>
      <c r="E137" t="s">
        <v>10</v>
      </c>
      <c r="F137" t="s">
        <v>11</v>
      </c>
      <c r="G137">
        <v>3886</v>
      </c>
      <c r="H137" t="str">
        <f>VLOOKUP(B137,Sheet1!C:D,2,0)</f>
        <v>CCTV5+</v>
      </c>
    </row>
    <row r="138" spans="1:8" x14ac:dyDescent="0.25">
      <c r="A138" t="s">
        <v>469</v>
      </c>
      <c r="B138" t="s">
        <v>470</v>
      </c>
      <c r="C138" t="s">
        <v>9</v>
      </c>
      <c r="E138" t="s">
        <v>10</v>
      </c>
      <c r="F138" t="s">
        <v>11</v>
      </c>
      <c r="G138">
        <v>3930</v>
      </c>
      <c r="H138" t="str">
        <f>VLOOKUP(B138,Sheet1!C:D,2,0)</f>
        <v>CCTV5+</v>
      </c>
    </row>
    <row r="139" spans="1:8" x14ac:dyDescent="0.25">
      <c r="A139" t="s">
        <v>565</v>
      </c>
      <c r="B139" t="s">
        <v>566</v>
      </c>
      <c r="C139" t="s">
        <v>9</v>
      </c>
      <c r="E139" t="s">
        <v>10</v>
      </c>
      <c r="F139" t="s">
        <v>11</v>
      </c>
      <c r="G139">
        <v>3816</v>
      </c>
      <c r="H139" t="str">
        <f>VLOOKUP(B139,Sheet1!C:D,2,0)</f>
        <v>CCTV5+</v>
      </c>
    </row>
    <row r="140" spans="1:8" x14ac:dyDescent="0.25">
      <c r="A140" t="s">
        <v>595</v>
      </c>
      <c r="B140" t="s">
        <v>596</v>
      </c>
      <c r="C140" t="s">
        <v>9</v>
      </c>
      <c r="E140" t="s">
        <v>10</v>
      </c>
      <c r="F140" t="s">
        <v>11</v>
      </c>
      <c r="G140">
        <v>3931</v>
      </c>
      <c r="H140" t="str">
        <f>VLOOKUP(B140,Sheet1!C:D,2,0)</f>
        <v>CCTV5+</v>
      </c>
    </row>
    <row r="141" spans="1:8" x14ac:dyDescent="0.25">
      <c r="A141" t="s">
        <v>659</v>
      </c>
      <c r="B141" t="s">
        <v>660</v>
      </c>
      <c r="C141" t="s">
        <v>9</v>
      </c>
      <c r="E141" t="s">
        <v>10</v>
      </c>
      <c r="F141" t="s">
        <v>11</v>
      </c>
      <c r="G141">
        <v>3767</v>
      </c>
      <c r="H141" t="str">
        <f>VLOOKUP(B141,Sheet1!C:D,2,0)</f>
        <v>CCTV5+</v>
      </c>
    </row>
    <row r="142" spans="1:8" x14ac:dyDescent="0.25">
      <c r="A142" t="s">
        <v>719</v>
      </c>
      <c r="B142" t="s">
        <v>720</v>
      </c>
      <c r="C142" t="s">
        <v>9</v>
      </c>
      <c r="E142" t="s">
        <v>10</v>
      </c>
      <c r="F142" t="s">
        <v>11</v>
      </c>
      <c r="G142">
        <v>3920</v>
      </c>
      <c r="H142" t="str">
        <f>VLOOKUP(B142,Sheet1!C:D,2,0)</f>
        <v>CCTV5+</v>
      </c>
    </row>
    <row r="143" spans="1:8" x14ac:dyDescent="0.25">
      <c r="A143" t="s">
        <v>803</v>
      </c>
      <c r="B143" t="s">
        <v>804</v>
      </c>
      <c r="C143" t="s">
        <v>9</v>
      </c>
      <c r="E143" t="s">
        <v>10</v>
      </c>
      <c r="F143" t="s">
        <v>11</v>
      </c>
      <c r="G143">
        <v>3600</v>
      </c>
      <c r="H143" t="str">
        <f>VLOOKUP(B143,Sheet1!C:D,2,0)</f>
        <v>CCTV5+</v>
      </c>
    </row>
    <row r="144" spans="1:8" x14ac:dyDescent="0.25">
      <c r="A144" t="s">
        <v>22</v>
      </c>
      <c r="B144" t="s">
        <v>23</v>
      </c>
      <c r="C144" t="s">
        <v>9</v>
      </c>
      <c r="E144" t="s">
        <v>10</v>
      </c>
      <c r="F144" t="s">
        <v>11</v>
      </c>
      <c r="G144">
        <v>3974</v>
      </c>
      <c r="H144" t="str">
        <f>VLOOKUP(B144,Sheet1!C:D,2,0)</f>
        <v>CCTV6</v>
      </c>
    </row>
    <row r="145" spans="1:8" x14ac:dyDescent="0.25">
      <c r="A145" t="s">
        <v>100</v>
      </c>
      <c r="B145" t="s">
        <v>101</v>
      </c>
      <c r="C145" t="s">
        <v>9</v>
      </c>
      <c r="E145" t="s">
        <v>10</v>
      </c>
      <c r="F145" t="s">
        <v>11</v>
      </c>
      <c r="G145">
        <v>3908</v>
      </c>
      <c r="H145" t="str">
        <f>VLOOKUP(B145,Sheet1!C:D,2,0)</f>
        <v>CCTV6</v>
      </c>
    </row>
    <row r="146" spans="1:8" x14ac:dyDescent="0.25">
      <c r="A146" t="s">
        <v>130</v>
      </c>
      <c r="B146" t="s">
        <v>131</v>
      </c>
      <c r="C146" t="s">
        <v>9</v>
      </c>
      <c r="E146" t="s">
        <v>10</v>
      </c>
      <c r="F146" t="s">
        <v>11</v>
      </c>
      <c r="G146">
        <v>3889</v>
      </c>
      <c r="H146" t="str">
        <f>VLOOKUP(B146,Sheet1!C:D,2,0)</f>
        <v>CCTV6</v>
      </c>
    </row>
    <row r="147" spans="1:8" x14ac:dyDescent="0.25">
      <c r="A147" t="s">
        <v>186</v>
      </c>
      <c r="B147" t="s">
        <v>187</v>
      </c>
      <c r="C147" t="s">
        <v>9</v>
      </c>
      <c r="E147" t="s">
        <v>10</v>
      </c>
      <c r="F147" t="s">
        <v>11</v>
      </c>
      <c r="G147">
        <v>3901</v>
      </c>
      <c r="H147" t="str">
        <f>VLOOKUP(B147,Sheet1!C:D,2,0)</f>
        <v>CCTV6</v>
      </c>
    </row>
    <row r="148" spans="1:8" x14ac:dyDescent="0.25">
      <c r="A148" t="s">
        <v>234</v>
      </c>
      <c r="B148" t="s">
        <v>235</v>
      </c>
      <c r="C148" t="s">
        <v>9</v>
      </c>
      <c r="E148" t="s">
        <v>10</v>
      </c>
      <c r="F148" t="s">
        <v>11</v>
      </c>
      <c r="G148">
        <v>4018</v>
      </c>
      <c r="H148" t="str">
        <f>VLOOKUP(B148,Sheet1!C:D,2,0)</f>
        <v>CCTV6</v>
      </c>
    </row>
    <row r="149" spans="1:8" x14ac:dyDescent="0.25">
      <c r="A149" t="s">
        <v>313</v>
      </c>
      <c r="B149" t="s">
        <v>314</v>
      </c>
      <c r="C149" t="s">
        <v>9</v>
      </c>
      <c r="E149" t="s">
        <v>10</v>
      </c>
      <c r="F149" t="s">
        <v>11</v>
      </c>
      <c r="G149">
        <v>3909</v>
      </c>
      <c r="H149" t="str">
        <f>VLOOKUP(B149,Sheet1!C:D,2,0)</f>
        <v>CCTV6</v>
      </c>
    </row>
    <row r="150" spans="1:8" x14ac:dyDescent="0.25">
      <c r="A150" t="s">
        <v>401</v>
      </c>
      <c r="B150" t="s">
        <v>402</v>
      </c>
      <c r="C150" t="s">
        <v>9</v>
      </c>
      <c r="E150" t="s">
        <v>10</v>
      </c>
      <c r="F150" t="s">
        <v>11</v>
      </c>
      <c r="G150">
        <v>3913</v>
      </c>
      <c r="H150" t="str">
        <f>VLOOKUP(B150,Sheet1!C:D,2,0)</f>
        <v>CCTV6</v>
      </c>
    </row>
    <row r="151" spans="1:8" x14ac:dyDescent="0.25">
      <c r="A151" t="s">
        <v>603</v>
      </c>
      <c r="B151" t="s">
        <v>604</v>
      </c>
      <c r="C151" t="s">
        <v>9</v>
      </c>
      <c r="E151" t="s">
        <v>10</v>
      </c>
      <c r="F151" t="s">
        <v>11</v>
      </c>
      <c r="G151">
        <v>3909</v>
      </c>
      <c r="H151" t="str">
        <f>VLOOKUP(B151,Sheet1!C:D,2,0)</f>
        <v>CCTV6</v>
      </c>
    </row>
    <row r="152" spans="1:8" x14ac:dyDescent="0.25">
      <c r="A152" t="s">
        <v>665</v>
      </c>
      <c r="B152" t="s">
        <v>666</v>
      </c>
      <c r="C152" t="s">
        <v>9</v>
      </c>
      <c r="E152" t="s">
        <v>10</v>
      </c>
      <c r="F152" t="s">
        <v>11</v>
      </c>
      <c r="G152">
        <v>3919</v>
      </c>
      <c r="H152" t="str">
        <f>VLOOKUP(B152,Sheet1!C:D,2,0)</f>
        <v>CCTV6</v>
      </c>
    </row>
    <row r="153" spans="1:8" x14ac:dyDescent="0.25">
      <c r="A153" t="s">
        <v>673</v>
      </c>
      <c r="B153" t="s">
        <v>674</v>
      </c>
      <c r="C153" t="s">
        <v>9</v>
      </c>
      <c r="E153" t="s">
        <v>10</v>
      </c>
      <c r="F153" t="s">
        <v>11</v>
      </c>
      <c r="G153">
        <v>3869</v>
      </c>
      <c r="H153" t="str">
        <f>VLOOKUP(B153,Sheet1!C:D,2,0)</f>
        <v>CCTV6</v>
      </c>
    </row>
    <row r="154" spans="1:8" x14ac:dyDescent="0.25">
      <c r="A154" t="s">
        <v>721</v>
      </c>
      <c r="B154" t="s">
        <v>722</v>
      </c>
      <c r="C154" t="s">
        <v>9</v>
      </c>
      <c r="E154" t="s">
        <v>10</v>
      </c>
      <c r="F154" t="s">
        <v>11</v>
      </c>
      <c r="G154">
        <v>3939</v>
      </c>
      <c r="H154" t="str">
        <f>VLOOKUP(B154,Sheet1!C:D,2,0)</f>
        <v>CCTV6</v>
      </c>
    </row>
    <row r="155" spans="1:8" x14ac:dyDescent="0.25">
      <c r="A155" t="s">
        <v>821</v>
      </c>
      <c r="B155" t="s">
        <v>822</v>
      </c>
      <c r="C155" t="s">
        <v>9</v>
      </c>
      <c r="E155" t="s">
        <v>10</v>
      </c>
      <c r="F155" t="s">
        <v>11</v>
      </c>
      <c r="G155">
        <v>4569</v>
      </c>
      <c r="H155" t="str">
        <f>VLOOKUP(B155,Sheet1!C:D,2,0)</f>
        <v>CCTV6</v>
      </c>
    </row>
    <row r="156" spans="1:8" x14ac:dyDescent="0.25">
      <c r="A156" t="s">
        <v>20</v>
      </c>
      <c r="B156" t="s">
        <v>21</v>
      </c>
      <c r="C156" t="s">
        <v>9</v>
      </c>
      <c r="E156" t="s">
        <v>10</v>
      </c>
      <c r="F156" t="s">
        <v>11</v>
      </c>
      <c r="G156">
        <v>3958</v>
      </c>
      <c r="H156" t="str">
        <f>VLOOKUP(B156,Sheet1!C:D,2,0)</f>
        <v>CCTV7</v>
      </c>
    </row>
    <row r="157" spans="1:8" x14ac:dyDescent="0.25">
      <c r="A157" t="s">
        <v>138</v>
      </c>
      <c r="B157" t="s">
        <v>139</v>
      </c>
      <c r="C157" t="s">
        <v>9</v>
      </c>
      <c r="E157" t="s">
        <v>10</v>
      </c>
      <c r="F157" t="s">
        <v>11</v>
      </c>
      <c r="G157">
        <v>3881</v>
      </c>
      <c r="H157" t="str">
        <f>VLOOKUP(B157,Sheet1!C:D,2,0)</f>
        <v>CCTV7</v>
      </c>
    </row>
    <row r="158" spans="1:8" x14ac:dyDescent="0.25">
      <c r="A158" t="s">
        <v>357</v>
      </c>
      <c r="B158" t="s">
        <v>358</v>
      </c>
      <c r="C158" t="s">
        <v>9</v>
      </c>
      <c r="E158" t="s">
        <v>10</v>
      </c>
      <c r="F158" t="s">
        <v>11</v>
      </c>
      <c r="G158">
        <v>3976</v>
      </c>
      <c r="H158" t="str">
        <f>VLOOKUP(B158,Sheet1!C:D,2,0)</f>
        <v>CCTV7</v>
      </c>
    </row>
    <row r="159" spans="1:8" x14ac:dyDescent="0.25">
      <c r="A159" t="s">
        <v>377</v>
      </c>
      <c r="B159" t="s">
        <v>378</v>
      </c>
      <c r="C159" t="s">
        <v>9</v>
      </c>
      <c r="E159" t="s">
        <v>10</v>
      </c>
      <c r="F159" t="s">
        <v>11</v>
      </c>
      <c r="G159">
        <v>3912</v>
      </c>
      <c r="H159" t="str">
        <f>VLOOKUP(B159,Sheet1!C:D,2,0)</f>
        <v>CCTV7</v>
      </c>
    </row>
    <row r="160" spans="1:8" x14ac:dyDescent="0.25">
      <c r="A160" t="s">
        <v>997</v>
      </c>
      <c r="B160" t="s">
        <v>998</v>
      </c>
      <c r="C160" t="s">
        <v>9</v>
      </c>
      <c r="E160" t="s">
        <v>10</v>
      </c>
      <c r="F160" t="s">
        <v>11</v>
      </c>
      <c r="G160">
        <v>4723</v>
      </c>
      <c r="H160" t="str">
        <f>VLOOKUP(B160,Sheet1!C:D,2,0)</f>
        <v>CCTV7</v>
      </c>
    </row>
    <row r="161" spans="1:8" x14ac:dyDescent="0.25">
      <c r="A161" t="s">
        <v>1003</v>
      </c>
      <c r="B161" t="s">
        <v>1004</v>
      </c>
      <c r="C161" t="s">
        <v>9</v>
      </c>
      <c r="E161" t="s">
        <v>10</v>
      </c>
      <c r="F161" t="s">
        <v>11</v>
      </c>
      <c r="G161">
        <v>4720</v>
      </c>
      <c r="H161" t="str">
        <f>VLOOKUP(B161,Sheet1!C:D,2,0)</f>
        <v>CCTV7</v>
      </c>
    </row>
    <row r="162" spans="1:8" x14ac:dyDescent="0.25">
      <c r="A162" t="s">
        <v>94</v>
      </c>
      <c r="B162" t="s">
        <v>95</v>
      </c>
      <c r="C162" t="s">
        <v>9</v>
      </c>
      <c r="E162" t="s">
        <v>10</v>
      </c>
      <c r="F162" t="s">
        <v>11</v>
      </c>
      <c r="G162">
        <v>3881</v>
      </c>
      <c r="H162" t="str">
        <f>VLOOKUP(B162,Sheet1!C:D,2,0)</f>
        <v>CCTV8</v>
      </c>
    </row>
    <row r="163" spans="1:8" x14ac:dyDescent="0.25">
      <c r="A163" t="s">
        <v>132</v>
      </c>
      <c r="B163" t="s">
        <v>133</v>
      </c>
      <c r="C163" t="s">
        <v>9</v>
      </c>
      <c r="E163" t="s">
        <v>10</v>
      </c>
      <c r="F163" t="s">
        <v>11</v>
      </c>
      <c r="G163">
        <v>3892</v>
      </c>
      <c r="H163" t="str">
        <f>VLOOKUP(B163,Sheet1!C:D,2,0)</f>
        <v>CCTV8</v>
      </c>
    </row>
    <row r="164" spans="1:8" x14ac:dyDescent="0.25">
      <c r="A164" t="s">
        <v>188</v>
      </c>
      <c r="B164" t="s">
        <v>189</v>
      </c>
      <c r="C164" t="s">
        <v>9</v>
      </c>
      <c r="E164" t="s">
        <v>10</v>
      </c>
      <c r="F164" t="s">
        <v>11</v>
      </c>
      <c r="G164">
        <v>3799</v>
      </c>
      <c r="H164" t="str">
        <f>VLOOKUP(B164,Sheet1!C:D,2,0)</f>
        <v>CCTV8</v>
      </c>
    </row>
    <row r="165" spans="1:8" x14ac:dyDescent="0.25">
      <c r="A165" t="s">
        <v>204</v>
      </c>
      <c r="B165" t="s">
        <v>205</v>
      </c>
      <c r="C165" t="s">
        <v>9</v>
      </c>
      <c r="E165" t="s">
        <v>10</v>
      </c>
      <c r="F165" t="s">
        <v>11</v>
      </c>
      <c r="G165">
        <v>3930</v>
      </c>
      <c r="H165" t="str">
        <f>VLOOKUP(B165,Sheet1!C:D,2,0)</f>
        <v>CCTV8</v>
      </c>
    </row>
    <row r="166" spans="1:8" x14ac:dyDescent="0.25">
      <c r="A166" t="s">
        <v>359</v>
      </c>
      <c r="B166" t="s">
        <v>360</v>
      </c>
      <c r="C166" t="s">
        <v>9</v>
      </c>
      <c r="E166" t="s">
        <v>10</v>
      </c>
      <c r="F166" t="s">
        <v>11</v>
      </c>
      <c r="G166">
        <v>3927</v>
      </c>
      <c r="H166" t="str">
        <f>VLOOKUP(B166,Sheet1!C:D,2,0)</f>
        <v>CCTV8</v>
      </c>
    </row>
    <row r="167" spans="1:8" x14ac:dyDescent="0.25">
      <c r="A167" t="s">
        <v>405</v>
      </c>
      <c r="B167" t="s">
        <v>406</v>
      </c>
      <c r="C167" t="s">
        <v>9</v>
      </c>
      <c r="E167" t="s">
        <v>10</v>
      </c>
      <c r="F167" t="s">
        <v>11</v>
      </c>
      <c r="G167">
        <v>3901</v>
      </c>
      <c r="H167" t="str">
        <f>VLOOKUP(B167,Sheet1!C:D,2,0)</f>
        <v>CCTV8</v>
      </c>
    </row>
    <row r="168" spans="1:8" x14ac:dyDescent="0.25">
      <c r="A168" t="s">
        <v>503</v>
      </c>
      <c r="B168" t="s">
        <v>504</v>
      </c>
      <c r="C168" t="s">
        <v>9</v>
      </c>
      <c r="E168" t="s">
        <v>10</v>
      </c>
      <c r="F168" t="s">
        <v>11</v>
      </c>
      <c r="G168">
        <v>3887</v>
      </c>
      <c r="H168" t="str">
        <f>VLOOKUP(B168,Sheet1!C:D,2,0)</f>
        <v>CCTV8</v>
      </c>
    </row>
    <row r="169" spans="1:8" x14ac:dyDescent="0.25">
      <c r="A169" t="s">
        <v>567</v>
      </c>
      <c r="B169" t="s">
        <v>568</v>
      </c>
      <c r="C169" t="s">
        <v>9</v>
      </c>
      <c r="E169" t="s">
        <v>10</v>
      </c>
      <c r="F169" t="s">
        <v>11</v>
      </c>
      <c r="G169">
        <v>3902</v>
      </c>
      <c r="H169" t="str">
        <f>VLOOKUP(B169,Sheet1!C:D,2,0)</f>
        <v>CCTV8</v>
      </c>
    </row>
    <row r="170" spans="1:8" x14ac:dyDescent="0.25">
      <c r="A170" t="s">
        <v>573</v>
      </c>
      <c r="B170" t="s">
        <v>574</v>
      </c>
      <c r="C170" t="s">
        <v>9</v>
      </c>
      <c r="E170" t="s">
        <v>10</v>
      </c>
      <c r="F170" t="s">
        <v>11</v>
      </c>
      <c r="G170">
        <v>3630</v>
      </c>
      <c r="H170" t="str">
        <f>VLOOKUP(B170,Sheet1!C:D,2,0)</f>
        <v>CCTV8</v>
      </c>
    </row>
    <row r="171" spans="1:8" x14ac:dyDescent="0.25">
      <c r="A171" t="s">
        <v>671</v>
      </c>
      <c r="B171" t="s">
        <v>672</v>
      </c>
      <c r="C171" t="s">
        <v>9</v>
      </c>
      <c r="E171" t="s">
        <v>10</v>
      </c>
      <c r="F171" t="s">
        <v>11</v>
      </c>
      <c r="G171">
        <v>3907</v>
      </c>
      <c r="H171" t="str">
        <f>VLOOKUP(B171,Sheet1!C:D,2,0)</f>
        <v>CCTV8</v>
      </c>
    </row>
    <row r="172" spans="1:8" x14ac:dyDescent="0.25">
      <c r="A172" t="s">
        <v>761</v>
      </c>
      <c r="B172" t="s">
        <v>762</v>
      </c>
      <c r="C172" t="s">
        <v>9</v>
      </c>
      <c r="E172" t="s">
        <v>10</v>
      </c>
      <c r="F172" t="s">
        <v>11</v>
      </c>
      <c r="G172">
        <v>3897</v>
      </c>
      <c r="H172" t="str">
        <f>VLOOKUP(B172,Sheet1!C:D,2,0)</f>
        <v>CCTV8</v>
      </c>
    </row>
    <row r="173" spans="1:8" x14ac:dyDescent="0.25">
      <c r="A173" t="s">
        <v>901</v>
      </c>
      <c r="B173" t="s">
        <v>902</v>
      </c>
      <c r="C173" t="s">
        <v>9</v>
      </c>
      <c r="E173" t="s">
        <v>10</v>
      </c>
      <c r="F173" t="s">
        <v>11</v>
      </c>
      <c r="G173">
        <v>4813</v>
      </c>
      <c r="H173" t="str">
        <f>VLOOKUP(B173,Sheet1!C:D,2,0)</f>
        <v>CCTV8</v>
      </c>
    </row>
    <row r="174" spans="1:8" x14ac:dyDescent="0.25">
      <c r="A174" t="s">
        <v>12</v>
      </c>
      <c r="B174" t="s">
        <v>13</v>
      </c>
      <c r="C174" t="s">
        <v>9</v>
      </c>
      <c r="E174" t="s">
        <v>10</v>
      </c>
      <c r="F174" t="s">
        <v>11</v>
      </c>
      <c r="G174">
        <v>3914</v>
      </c>
      <c r="H174" t="str">
        <f>VLOOKUP(B174,Sheet1!C:D,2,0)</f>
        <v>CCTV9</v>
      </c>
    </row>
    <row r="175" spans="1:8" x14ac:dyDescent="0.25">
      <c r="A175" t="s">
        <v>341</v>
      </c>
      <c r="B175" t="s">
        <v>342</v>
      </c>
      <c r="C175" t="s">
        <v>9</v>
      </c>
      <c r="E175" t="s">
        <v>10</v>
      </c>
      <c r="F175" t="s">
        <v>11</v>
      </c>
      <c r="G175">
        <v>3886</v>
      </c>
      <c r="H175" t="str">
        <f>VLOOKUP(B175,Sheet1!C:D,2,0)</f>
        <v>CCTV9</v>
      </c>
    </row>
    <row r="176" spans="1:8" x14ac:dyDescent="0.25">
      <c r="A176" t="s">
        <v>395</v>
      </c>
      <c r="B176" t="s">
        <v>396</v>
      </c>
      <c r="C176" t="s">
        <v>9</v>
      </c>
      <c r="E176" t="s">
        <v>10</v>
      </c>
      <c r="F176" t="s">
        <v>11</v>
      </c>
      <c r="G176">
        <v>3879</v>
      </c>
      <c r="H176" t="str">
        <f>VLOOKUP(B176,Sheet1!C:D,2,0)</f>
        <v>CCTV9</v>
      </c>
    </row>
    <row r="177" spans="1:8" x14ac:dyDescent="0.25">
      <c r="A177" t="s">
        <v>457</v>
      </c>
      <c r="B177" t="s">
        <v>458</v>
      </c>
      <c r="C177" t="s">
        <v>9</v>
      </c>
      <c r="E177" t="s">
        <v>10</v>
      </c>
      <c r="F177" t="s">
        <v>11</v>
      </c>
      <c r="G177">
        <v>3883</v>
      </c>
      <c r="H177" t="str">
        <f>VLOOKUP(B177,Sheet1!C:D,2,0)</f>
        <v>CCTV9</v>
      </c>
    </row>
    <row r="178" spans="1:8" x14ac:dyDescent="0.25">
      <c r="A178" t="s">
        <v>963</v>
      </c>
      <c r="B178" t="s">
        <v>964</v>
      </c>
      <c r="C178" t="s">
        <v>9</v>
      </c>
      <c r="E178" t="s">
        <v>10</v>
      </c>
      <c r="F178" t="s">
        <v>11</v>
      </c>
      <c r="G178">
        <v>4720</v>
      </c>
      <c r="H178" t="str">
        <f>VLOOKUP(B178,Sheet1!C:D,2,0)</f>
        <v>CCTV9</v>
      </c>
    </row>
    <row r="179" spans="1:8" x14ac:dyDescent="0.25">
      <c r="A179" t="s">
        <v>1160</v>
      </c>
      <c r="B179" t="s">
        <v>1161</v>
      </c>
      <c r="C179" t="s">
        <v>9</v>
      </c>
      <c r="E179" t="s">
        <v>10</v>
      </c>
      <c r="F179" t="s">
        <v>11</v>
      </c>
      <c r="G179">
        <v>4702</v>
      </c>
      <c r="H179" t="str">
        <f>VLOOKUP(B179,Sheet1!C:D,2,0)</f>
        <v>CCTV9</v>
      </c>
    </row>
    <row r="180" spans="1:8" x14ac:dyDescent="0.25">
      <c r="A180" t="s">
        <v>1071</v>
      </c>
      <c r="B180" t="s">
        <v>1072</v>
      </c>
      <c r="C180" t="s">
        <v>9</v>
      </c>
      <c r="E180" t="s">
        <v>10</v>
      </c>
      <c r="F180" t="s">
        <v>11</v>
      </c>
      <c r="G180">
        <v>4837</v>
      </c>
      <c r="H180" t="str">
        <f>VLOOKUP(B180,Sheet1!C:D,2,0)</f>
        <v>CCTV兵器科技</v>
      </c>
    </row>
    <row r="181" spans="1:8" x14ac:dyDescent="0.25">
      <c r="A181" t="s">
        <v>1029</v>
      </c>
      <c r="B181" t="s">
        <v>1030</v>
      </c>
      <c r="C181" t="s">
        <v>9</v>
      </c>
      <c r="E181" t="s">
        <v>10</v>
      </c>
      <c r="F181" t="s">
        <v>11</v>
      </c>
      <c r="G181">
        <v>4833</v>
      </c>
      <c r="H181" t="str">
        <f>VLOOKUP(B181,Sheet1!C:D,2,0)</f>
        <v>CCTV第一剧场</v>
      </c>
    </row>
    <row r="182" spans="1:8" x14ac:dyDescent="0.25">
      <c r="A182" t="s">
        <v>1073</v>
      </c>
      <c r="B182" t="s">
        <v>1074</v>
      </c>
      <c r="C182" t="s">
        <v>9</v>
      </c>
      <c r="E182" t="s">
        <v>10</v>
      </c>
      <c r="F182" t="s">
        <v>11</v>
      </c>
      <c r="G182">
        <v>4716</v>
      </c>
      <c r="H182" t="str">
        <f>VLOOKUP(B182,Sheet1!C:D,2,0)</f>
        <v>CCTV电视指南</v>
      </c>
    </row>
    <row r="183" spans="1:8" x14ac:dyDescent="0.25">
      <c r="A183" t="s">
        <v>1037</v>
      </c>
      <c r="B183" t="s">
        <v>1038</v>
      </c>
      <c r="C183" t="s">
        <v>9</v>
      </c>
      <c r="E183" t="s">
        <v>10</v>
      </c>
      <c r="F183" t="s">
        <v>11</v>
      </c>
      <c r="G183">
        <v>4773</v>
      </c>
      <c r="H183" t="str">
        <f>VLOOKUP(B183,Sheet1!C:D,2,0)</f>
        <v>CCTV风云剧场</v>
      </c>
    </row>
    <row r="184" spans="1:8" x14ac:dyDescent="0.25">
      <c r="A184" t="s">
        <v>1039</v>
      </c>
      <c r="B184" t="s">
        <v>1040</v>
      </c>
      <c r="C184" t="s">
        <v>9</v>
      </c>
      <c r="E184" t="s">
        <v>10</v>
      </c>
      <c r="F184" t="s">
        <v>11</v>
      </c>
      <c r="G184">
        <v>4850</v>
      </c>
      <c r="H184" t="str">
        <f>VLOOKUP(B184,Sheet1!C:D,2,0)</f>
        <v>CCTV风云音乐</v>
      </c>
    </row>
    <row r="185" spans="1:8" x14ac:dyDescent="0.25">
      <c r="A185" t="s">
        <v>1043</v>
      </c>
      <c r="B185" t="s">
        <v>1044</v>
      </c>
      <c r="C185" t="s">
        <v>9</v>
      </c>
      <c r="E185" t="s">
        <v>10</v>
      </c>
      <c r="F185" t="s">
        <v>11</v>
      </c>
      <c r="G185">
        <v>4664</v>
      </c>
      <c r="H185" t="str">
        <f>VLOOKUP(B185,Sheet1!C:D,2,0)</f>
        <v>CCTV风云足球</v>
      </c>
    </row>
    <row r="186" spans="1:8" x14ac:dyDescent="0.25">
      <c r="A186" t="s">
        <v>619</v>
      </c>
      <c r="B186" t="s">
        <v>620</v>
      </c>
      <c r="C186" t="s">
        <v>9</v>
      </c>
      <c r="E186" t="s">
        <v>10</v>
      </c>
      <c r="F186" t="s">
        <v>11</v>
      </c>
      <c r="G186">
        <v>3891</v>
      </c>
      <c r="H186" t="str">
        <f>VLOOKUP(B186,Sheet1!C:D,2,0)</f>
        <v>CCTV高尔夫网球</v>
      </c>
    </row>
    <row r="187" spans="1:8" x14ac:dyDescent="0.25">
      <c r="A187" t="s">
        <v>1049</v>
      </c>
      <c r="B187" t="s">
        <v>1050</v>
      </c>
      <c r="C187" t="s">
        <v>9</v>
      </c>
      <c r="E187" t="s">
        <v>10</v>
      </c>
      <c r="F187" t="s">
        <v>11</v>
      </c>
      <c r="G187">
        <v>4799</v>
      </c>
      <c r="H187" t="str">
        <f>VLOOKUP(B187,Sheet1!C:D,2,0)</f>
        <v>CCTV怀旧剧场</v>
      </c>
    </row>
    <row r="188" spans="1:8" x14ac:dyDescent="0.25">
      <c r="A188" t="s">
        <v>1053</v>
      </c>
      <c r="B188" t="s">
        <v>1054</v>
      </c>
      <c r="C188" t="s">
        <v>9</v>
      </c>
      <c r="E188" t="s">
        <v>10</v>
      </c>
      <c r="F188" t="s">
        <v>11</v>
      </c>
      <c r="G188">
        <v>4781</v>
      </c>
      <c r="H188" t="str">
        <f>VLOOKUP(B188,Sheet1!C:D,2,0)</f>
        <v>CCTV女性时尚</v>
      </c>
    </row>
    <row r="189" spans="1:8" x14ac:dyDescent="0.25">
      <c r="A189" t="s">
        <v>1063</v>
      </c>
      <c r="B189" t="s">
        <v>1064</v>
      </c>
      <c r="C189" t="s">
        <v>9</v>
      </c>
      <c r="E189" t="s">
        <v>10</v>
      </c>
      <c r="F189" t="s">
        <v>11</v>
      </c>
      <c r="G189">
        <v>4775</v>
      </c>
      <c r="H189" t="str">
        <f>VLOOKUP(B189,Sheet1!C:D,2,0)</f>
        <v>CCTV世界地理</v>
      </c>
    </row>
    <row r="190" spans="1:8" x14ac:dyDescent="0.25">
      <c r="A190" t="s">
        <v>1057</v>
      </c>
      <c r="B190" t="s">
        <v>1058</v>
      </c>
      <c r="C190" t="s">
        <v>9</v>
      </c>
      <c r="E190" t="s">
        <v>10</v>
      </c>
      <c r="F190" t="s">
        <v>11</v>
      </c>
      <c r="G190">
        <v>4899</v>
      </c>
      <c r="H190" t="str">
        <f>VLOOKUP(B190,Sheet1!C:D,2,0)</f>
        <v>CCTV文化精品</v>
      </c>
    </row>
    <row r="191" spans="1:8" x14ac:dyDescent="0.25">
      <c r="A191" t="s">
        <v>1067</v>
      </c>
      <c r="B191" t="s">
        <v>1068</v>
      </c>
      <c r="C191" t="s">
        <v>9</v>
      </c>
      <c r="E191" t="s">
        <v>10</v>
      </c>
      <c r="F191" t="s">
        <v>11</v>
      </c>
      <c r="G191">
        <v>4786</v>
      </c>
      <c r="H191" t="str">
        <f>VLOOKUP(B191,Sheet1!C:D,2,0)</f>
        <v>CCTV央视台球</v>
      </c>
    </row>
    <row r="192" spans="1:8" x14ac:dyDescent="0.25">
      <c r="A192" t="s">
        <v>52</v>
      </c>
      <c r="B192" t="s">
        <v>53</v>
      </c>
      <c r="C192" t="s">
        <v>9</v>
      </c>
      <c r="E192" t="s">
        <v>10</v>
      </c>
      <c r="F192" t="s">
        <v>11</v>
      </c>
      <c r="G192">
        <v>3941</v>
      </c>
      <c r="H192" t="str">
        <f>VLOOKUP(B192,Sheet1!C:D,2,0)</f>
        <v>CETV-1</v>
      </c>
    </row>
    <row r="193" spans="1:8" x14ac:dyDescent="0.25">
      <c r="A193" t="s">
        <v>1082</v>
      </c>
      <c r="B193" t="s">
        <v>1083</v>
      </c>
      <c r="C193" t="s">
        <v>9</v>
      </c>
      <c r="E193" t="s">
        <v>10</v>
      </c>
      <c r="F193" t="s">
        <v>11</v>
      </c>
      <c r="G193">
        <v>4980</v>
      </c>
      <c r="H193" t="str">
        <f>VLOOKUP(B193,Sheet1!C:D,2,0)</f>
        <v>CETV早期教育</v>
      </c>
    </row>
    <row r="194" spans="1:8" x14ac:dyDescent="0.25">
      <c r="A194" t="s">
        <v>1190</v>
      </c>
      <c r="B194" t="s">
        <v>1191</v>
      </c>
      <c r="C194" t="s">
        <v>9</v>
      </c>
      <c r="E194" t="s">
        <v>10</v>
      </c>
      <c r="F194" t="s">
        <v>11</v>
      </c>
      <c r="G194">
        <v>4764</v>
      </c>
      <c r="H194" t="str">
        <f>VLOOKUP(B194,Sheet1!C:D,2,0)</f>
        <v>CGTN</v>
      </c>
    </row>
    <row r="195" spans="1:8" x14ac:dyDescent="0.25">
      <c r="A195" t="s">
        <v>279</v>
      </c>
      <c r="B195" t="s">
        <v>280</v>
      </c>
      <c r="C195" t="s">
        <v>9</v>
      </c>
      <c r="E195" t="s">
        <v>10</v>
      </c>
      <c r="F195" t="s">
        <v>11</v>
      </c>
      <c r="G195">
        <v>4004</v>
      </c>
      <c r="H195" t="str">
        <f>VLOOKUP(B195,Sheet1!C:D,2,0)</f>
        <v>爱情喜剧</v>
      </c>
    </row>
    <row r="196" spans="1:8" x14ac:dyDescent="0.25">
      <c r="A196" t="s">
        <v>38</v>
      </c>
      <c r="B196" t="s">
        <v>39</v>
      </c>
      <c r="C196" t="s">
        <v>9</v>
      </c>
      <c r="E196" t="s">
        <v>10</v>
      </c>
      <c r="F196" t="s">
        <v>11</v>
      </c>
      <c r="G196">
        <v>3932</v>
      </c>
      <c r="H196" t="str">
        <f>VLOOKUP(B196,Sheet1!C:D,2,0)</f>
        <v>安徽卫视</v>
      </c>
    </row>
    <row r="197" spans="1:8" x14ac:dyDescent="0.25">
      <c r="A197" t="s">
        <v>230</v>
      </c>
      <c r="B197" t="s">
        <v>231</v>
      </c>
      <c r="C197" t="s">
        <v>9</v>
      </c>
      <c r="E197" t="s">
        <v>10</v>
      </c>
      <c r="F197" t="s">
        <v>11</v>
      </c>
      <c r="G197">
        <v>3902</v>
      </c>
      <c r="H197" t="str">
        <f>VLOOKUP(B197,Sheet1!C:D,2,0)</f>
        <v>安徽卫视</v>
      </c>
    </row>
    <row r="198" spans="1:8" x14ac:dyDescent="0.25">
      <c r="A198" t="s">
        <v>297</v>
      </c>
      <c r="B198" t="s">
        <v>298</v>
      </c>
      <c r="C198" t="s">
        <v>9</v>
      </c>
      <c r="E198" t="s">
        <v>10</v>
      </c>
      <c r="F198" t="s">
        <v>11</v>
      </c>
      <c r="G198">
        <v>3947</v>
      </c>
      <c r="H198" t="str">
        <f>VLOOKUP(B198,Sheet1!C:D,2,0)</f>
        <v>安徽卫视</v>
      </c>
    </row>
    <row r="199" spans="1:8" x14ac:dyDescent="0.25">
      <c r="A199" t="s">
        <v>379</v>
      </c>
      <c r="B199" t="s">
        <v>380</v>
      </c>
      <c r="C199" t="s">
        <v>9</v>
      </c>
      <c r="E199" t="s">
        <v>10</v>
      </c>
      <c r="F199" t="s">
        <v>11</v>
      </c>
      <c r="G199">
        <v>3922</v>
      </c>
      <c r="H199" t="str">
        <f>VLOOKUP(B199,Sheet1!C:D,2,0)</f>
        <v>安徽卫视</v>
      </c>
    </row>
    <row r="200" spans="1:8" x14ac:dyDescent="0.25">
      <c r="A200" t="s">
        <v>387</v>
      </c>
      <c r="B200" t="s">
        <v>388</v>
      </c>
      <c r="C200" t="s">
        <v>9</v>
      </c>
      <c r="E200" t="s">
        <v>10</v>
      </c>
      <c r="F200" t="s">
        <v>11</v>
      </c>
      <c r="G200">
        <v>3893</v>
      </c>
      <c r="H200" t="str">
        <f>VLOOKUP(B200,Sheet1!C:D,2,0)</f>
        <v>安徽卫视</v>
      </c>
    </row>
    <row r="201" spans="1:8" x14ac:dyDescent="0.25">
      <c r="A201" t="s">
        <v>513</v>
      </c>
      <c r="B201" t="s">
        <v>514</v>
      </c>
      <c r="C201" t="s">
        <v>9</v>
      </c>
      <c r="E201" t="s">
        <v>10</v>
      </c>
      <c r="F201" t="s">
        <v>11</v>
      </c>
      <c r="G201">
        <v>3857</v>
      </c>
      <c r="H201" t="str">
        <f>VLOOKUP(B201,Sheet1!C:D,2,0)</f>
        <v>安徽卫视</v>
      </c>
    </row>
    <row r="202" spans="1:8" x14ac:dyDescent="0.25">
      <c r="A202" t="s">
        <v>637</v>
      </c>
      <c r="B202" t="s">
        <v>638</v>
      </c>
      <c r="C202" t="s">
        <v>9</v>
      </c>
      <c r="E202" t="s">
        <v>10</v>
      </c>
      <c r="F202" t="s">
        <v>11</v>
      </c>
      <c r="G202">
        <v>3874</v>
      </c>
      <c r="H202" t="str">
        <f>VLOOKUP(B202,Sheet1!C:D,2,0)</f>
        <v>安徽卫视</v>
      </c>
    </row>
    <row r="203" spans="1:8" x14ac:dyDescent="0.25">
      <c r="A203" t="s">
        <v>755</v>
      </c>
      <c r="B203" t="s">
        <v>756</v>
      </c>
      <c r="C203" t="s">
        <v>9</v>
      </c>
      <c r="E203" t="s">
        <v>10</v>
      </c>
      <c r="F203" t="s">
        <v>11</v>
      </c>
      <c r="G203">
        <v>3889</v>
      </c>
      <c r="H203" t="str">
        <f>VLOOKUP(B203,Sheet1!C:D,2,0)</f>
        <v>安徽卫视</v>
      </c>
    </row>
    <row r="204" spans="1:8" x14ac:dyDescent="0.25">
      <c r="A204" t="s">
        <v>1007</v>
      </c>
      <c r="B204" t="s">
        <v>1008</v>
      </c>
      <c r="C204" t="s">
        <v>9</v>
      </c>
      <c r="E204" t="s">
        <v>10</v>
      </c>
      <c r="F204" t="s">
        <v>11</v>
      </c>
      <c r="G204">
        <v>4701</v>
      </c>
      <c r="H204" t="str">
        <f>VLOOKUP(B204,Sheet1!C:D,2,0)</f>
        <v>安徽卫视</v>
      </c>
    </row>
    <row r="205" spans="1:8" x14ac:dyDescent="0.25">
      <c r="A205" t="s">
        <v>555</v>
      </c>
      <c r="B205" t="s">
        <v>556</v>
      </c>
      <c r="C205" t="s">
        <v>9</v>
      </c>
      <c r="E205" t="s">
        <v>10</v>
      </c>
      <c r="F205" t="s">
        <v>11</v>
      </c>
      <c r="G205">
        <v>3691</v>
      </c>
      <c r="H205" t="str">
        <f>VLOOKUP(B205,Sheet1!C:D,2,0)</f>
        <v>宝应新闻</v>
      </c>
    </row>
    <row r="206" spans="1:8" x14ac:dyDescent="0.25">
      <c r="A206" t="s">
        <v>114</v>
      </c>
      <c r="B206" t="s">
        <v>115</v>
      </c>
      <c r="C206" t="s">
        <v>9</v>
      </c>
      <c r="E206" t="s">
        <v>10</v>
      </c>
      <c r="F206" t="s">
        <v>11</v>
      </c>
      <c r="G206">
        <v>3921</v>
      </c>
      <c r="H206" t="str">
        <f>VLOOKUP(B206,Sheet1!C:D,2,0)</f>
        <v>北京卫视</v>
      </c>
    </row>
    <row r="207" spans="1:8" x14ac:dyDescent="0.25">
      <c r="A207" t="s">
        <v>164</v>
      </c>
      <c r="B207" t="s">
        <v>165</v>
      </c>
      <c r="C207" t="s">
        <v>9</v>
      </c>
      <c r="E207" t="s">
        <v>10</v>
      </c>
      <c r="F207" t="s">
        <v>11</v>
      </c>
      <c r="G207">
        <v>3931</v>
      </c>
      <c r="H207" t="str">
        <f>VLOOKUP(B207,Sheet1!C:D,2,0)</f>
        <v>北京卫视</v>
      </c>
    </row>
    <row r="208" spans="1:8" x14ac:dyDescent="0.25">
      <c r="A208" t="s">
        <v>190</v>
      </c>
      <c r="B208" t="s">
        <v>191</v>
      </c>
      <c r="C208" t="s">
        <v>9</v>
      </c>
      <c r="E208" t="s">
        <v>10</v>
      </c>
      <c r="F208" t="s">
        <v>11</v>
      </c>
      <c r="G208">
        <v>3901</v>
      </c>
      <c r="H208" t="str">
        <f>VLOOKUP(B208,Sheet1!C:D,2,0)</f>
        <v>北京卫视</v>
      </c>
    </row>
    <row r="209" spans="1:8" x14ac:dyDescent="0.25">
      <c r="A209" t="s">
        <v>239</v>
      </c>
      <c r="B209" t="s">
        <v>240</v>
      </c>
      <c r="C209" t="s">
        <v>9</v>
      </c>
      <c r="E209" t="s">
        <v>10</v>
      </c>
      <c r="F209" t="s">
        <v>11</v>
      </c>
      <c r="G209">
        <v>3945</v>
      </c>
      <c r="H209" t="str">
        <f>VLOOKUP(B209,Sheet1!C:D,2,0)</f>
        <v>北京卫视</v>
      </c>
    </row>
    <row r="210" spans="1:8" x14ac:dyDescent="0.25">
      <c r="A210" t="s">
        <v>385</v>
      </c>
      <c r="B210" t="s">
        <v>386</v>
      </c>
      <c r="C210" t="s">
        <v>9</v>
      </c>
      <c r="E210" t="s">
        <v>10</v>
      </c>
      <c r="F210" t="s">
        <v>11</v>
      </c>
      <c r="G210">
        <v>3921</v>
      </c>
      <c r="H210" t="str">
        <f>VLOOKUP(B210,Sheet1!C:D,2,0)</f>
        <v>北京卫视</v>
      </c>
    </row>
    <row r="211" spans="1:8" x14ac:dyDescent="0.25">
      <c r="A211" t="s">
        <v>441</v>
      </c>
      <c r="B211" t="s">
        <v>442</v>
      </c>
      <c r="C211" t="s">
        <v>9</v>
      </c>
      <c r="E211" t="s">
        <v>10</v>
      </c>
      <c r="F211" t="s">
        <v>11</v>
      </c>
      <c r="G211">
        <v>3894</v>
      </c>
      <c r="H211" t="str">
        <f>VLOOKUP(B211,Sheet1!C:D,2,0)</f>
        <v>北京卫视</v>
      </c>
    </row>
    <row r="212" spans="1:8" x14ac:dyDescent="0.25">
      <c r="A212" t="s">
        <v>597</v>
      </c>
      <c r="B212" t="s">
        <v>598</v>
      </c>
      <c r="C212" t="s">
        <v>9</v>
      </c>
      <c r="E212" t="s">
        <v>10</v>
      </c>
      <c r="F212" t="s">
        <v>11</v>
      </c>
      <c r="G212">
        <v>3913</v>
      </c>
      <c r="H212" t="str">
        <f>VLOOKUP(B212,Sheet1!C:D,2,0)</f>
        <v>北京卫视</v>
      </c>
    </row>
    <row r="213" spans="1:8" x14ac:dyDescent="0.25">
      <c r="A213" t="s">
        <v>763</v>
      </c>
      <c r="B213" t="s">
        <v>764</v>
      </c>
      <c r="C213" t="s">
        <v>9</v>
      </c>
      <c r="E213" t="s">
        <v>10</v>
      </c>
      <c r="F213" t="s">
        <v>11</v>
      </c>
      <c r="G213">
        <v>4431</v>
      </c>
      <c r="H213" t="str">
        <f>VLOOKUP(B213,Sheet1!C:D,2,0)</f>
        <v>北京卫视</v>
      </c>
    </row>
    <row r="214" spans="1:8" x14ac:dyDescent="0.25">
      <c r="A214" t="s">
        <v>84</v>
      </c>
      <c r="B214" t="s">
        <v>85</v>
      </c>
      <c r="C214" t="s">
        <v>9</v>
      </c>
      <c r="E214" t="s">
        <v>10</v>
      </c>
      <c r="F214" t="s">
        <v>11</v>
      </c>
      <c r="G214">
        <v>3849</v>
      </c>
      <c r="H214" t="str">
        <f>VLOOKUP(B214,Sheet1!C:D,2,0)</f>
        <v>兵团卫视</v>
      </c>
    </row>
    <row r="215" spans="1:8" x14ac:dyDescent="0.25">
      <c r="A215" t="s">
        <v>1269</v>
      </c>
      <c r="B215" t="s">
        <v>1270</v>
      </c>
      <c r="C215" t="s">
        <v>9</v>
      </c>
      <c r="E215" t="s">
        <v>10</v>
      </c>
      <c r="F215" t="s">
        <v>11</v>
      </c>
      <c r="G215">
        <v>4840</v>
      </c>
      <c r="H215" t="str">
        <f>VLOOKUP(B215,Sheet1!C:D,2,0)</f>
        <v>茶频道</v>
      </c>
    </row>
    <row r="216" spans="1:8" x14ac:dyDescent="0.25">
      <c r="A216" t="s">
        <v>509</v>
      </c>
      <c r="B216" t="s">
        <v>510</v>
      </c>
      <c r="C216" t="s">
        <v>9</v>
      </c>
      <c r="E216" t="s">
        <v>10</v>
      </c>
      <c r="F216" t="s">
        <v>11</v>
      </c>
      <c r="G216">
        <v>3612</v>
      </c>
      <c r="H216" t="str">
        <f>VLOOKUP(B216,Sheet1!C:D,2,0)</f>
        <v>常州都市</v>
      </c>
    </row>
    <row r="217" spans="1:8" x14ac:dyDescent="0.25">
      <c r="A217" t="s">
        <v>547</v>
      </c>
      <c r="B217" t="s">
        <v>548</v>
      </c>
      <c r="C217" t="s">
        <v>9</v>
      </c>
      <c r="E217" t="s">
        <v>10</v>
      </c>
      <c r="F217" t="s">
        <v>11</v>
      </c>
      <c r="G217">
        <v>3639</v>
      </c>
      <c r="H217" t="str">
        <f>VLOOKUP(B217,Sheet1!C:D,2,0)</f>
        <v>常州都市</v>
      </c>
    </row>
    <row r="218" spans="1:8" x14ac:dyDescent="0.25">
      <c r="A218" t="s">
        <v>521</v>
      </c>
      <c r="B218" t="s">
        <v>522</v>
      </c>
      <c r="C218" t="s">
        <v>9</v>
      </c>
      <c r="E218" t="s">
        <v>10</v>
      </c>
      <c r="F218" t="s">
        <v>11</v>
      </c>
      <c r="G218">
        <v>3630</v>
      </c>
      <c r="H218" t="str">
        <f>VLOOKUP(B218,Sheet1!C:D,2,0)</f>
        <v>常州生活</v>
      </c>
    </row>
    <row r="219" spans="1:8" x14ac:dyDescent="0.25">
      <c r="A219" t="s">
        <v>529</v>
      </c>
      <c r="B219" t="s">
        <v>530</v>
      </c>
      <c r="C219" t="s">
        <v>9</v>
      </c>
      <c r="E219" t="s">
        <v>10</v>
      </c>
      <c r="F219" t="s">
        <v>11</v>
      </c>
      <c r="G219">
        <v>3670</v>
      </c>
      <c r="H219" t="str">
        <f>VLOOKUP(B219,Sheet1!C:D,2,0)</f>
        <v>常州生活</v>
      </c>
    </row>
    <row r="220" spans="1:8" x14ac:dyDescent="0.25">
      <c r="A220" t="s">
        <v>505</v>
      </c>
      <c r="B220" t="s">
        <v>506</v>
      </c>
      <c r="C220" t="s">
        <v>9</v>
      </c>
      <c r="E220" t="s">
        <v>10</v>
      </c>
      <c r="F220" t="s">
        <v>11</v>
      </c>
      <c r="G220">
        <v>3588</v>
      </c>
      <c r="H220" t="str">
        <f>VLOOKUP(B220,Sheet1!C:D,2,0)</f>
        <v>常州新闻综合</v>
      </c>
    </row>
    <row r="221" spans="1:8" x14ac:dyDescent="0.25">
      <c r="A221" t="s">
        <v>527</v>
      </c>
      <c r="B221" t="s">
        <v>528</v>
      </c>
      <c r="C221" t="s">
        <v>9</v>
      </c>
      <c r="E221" t="s">
        <v>10</v>
      </c>
      <c r="F221" t="s">
        <v>11</v>
      </c>
      <c r="G221">
        <v>3620</v>
      </c>
      <c r="H221" t="str">
        <f>VLOOKUP(B221,Sheet1!C:D,2,0)</f>
        <v>常州新闻综合</v>
      </c>
    </row>
    <row r="222" spans="1:8" x14ac:dyDescent="0.25">
      <c r="A222" t="s">
        <v>253</v>
      </c>
      <c r="B222" t="s">
        <v>254</v>
      </c>
      <c r="C222" t="s">
        <v>9</v>
      </c>
      <c r="E222" t="s">
        <v>10</v>
      </c>
      <c r="F222" t="s">
        <v>11</v>
      </c>
      <c r="G222">
        <v>3979</v>
      </c>
      <c r="H222" t="str">
        <f>VLOOKUP(B222,Sheet1!C:D,2,0)</f>
        <v>潮妈辣婆</v>
      </c>
    </row>
    <row r="223" spans="1:8" x14ac:dyDescent="0.25">
      <c r="A223" t="s">
        <v>787</v>
      </c>
      <c r="B223" t="s">
        <v>788</v>
      </c>
      <c r="C223" t="s">
        <v>9</v>
      </c>
      <c r="E223" t="s">
        <v>10</v>
      </c>
      <c r="F223" t="s">
        <v>11</v>
      </c>
      <c r="G223">
        <v>3962</v>
      </c>
      <c r="H223" t="str">
        <f>VLOOKUP(B223,Sheet1!C:D,2,0)</f>
        <v>崇川公共</v>
      </c>
    </row>
    <row r="224" spans="1:8" x14ac:dyDescent="0.25">
      <c r="A224" t="s">
        <v>18</v>
      </c>
      <c r="B224" t="s">
        <v>19</v>
      </c>
      <c r="C224" t="s">
        <v>9</v>
      </c>
      <c r="E224" t="s">
        <v>10</v>
      </c>
      <c r="F224" t="s">
        <v>11</v>
      </c>
      <c r="G224">
        <v>3864</v>
      </c>
      <c r="H224" t="str">
        <f>VLOOKUP(B224,Sheet1!C:D,2,0)</f>
        <v>哒啵赛事</v>
      </c>
    </row>
    <row r="225" spans="1:8" x14ac:dyDescent="0.25">
      <c r="A225" t="s">
        <v>753</v>
      </c>
      <c r="B225" t="s">
        <v>754</v>
      </c>
      <c r="C225" t="s">
        <v>9</v>
      </c>
      <c r="E225" t="s">
        <v>10</v>
      </c>
      <c r="F225" t="s">
        <v>11</v>
      </c>
      <c r="G225">
        <v>3974</v>
      </c>
      <c r="H225" t="str">
        <f>VLOOKUP(B225,Sheet1!C:D,2,0)</f>
        <v>大湾区卫视</v>
      </c>
    </row>
    <row r="226" spans="1:8" x14ac:dyDescent="0.25">
      <c r="A226" t="s">
        <v>613</v>
      </c>
      <c r="B226" t="s">
        <v>614</v>
      </c>
      <c r="C226" t="s">
        <v>9</v>
      </c>
      <c r="E226" t="s">
        <v>10</v>
      </c>
      <c r="F226" t="s">
        <v>11</v>
      </c>
      <c r="G226">
        <v>3323</v>
      </c>
      <c r="H226" t="str">
        <f>VLOOKUP(B226,Sheet1!C:D,2,0)</f>
        <v>电视剧-8132</v>
      </c>
    </row>
    <row r="227" spans="1:8" x14ac:dyDescent="0.25">
      <c r="A227" t="s">
        <v>799</v>
      </c>
      <c r="B227" t="s">
        <v>800</v>
      </c>
      <c r="C227" t="s">
        <v>9</v>
      </c>
      <c r="E227" t="s">
        <v>10</v>
      </c>
      <c r="F227" t="s">
        <v>11</v>
      </c>
      <c r="G227">
        <v>3989</v>
      </c>
      <c r="H227" t="str">
        <f>VLOOKUP(B227,Sheet1!C:D,2,0)</f>
        <v>电视剧-8465</v>
      </c>
    </row>
    <row r="228" spans="1:8" x14ac:dyDescent="0.25">
      <c r="A228" t="s">
        <v>907</v>
      </c>
      <c r="B228" t="s">
        <v>908</v>
      </c>
      <c r="C228" t="s">
        <v>9</v>
      </c>
      <c r="E228" t="s">
        <v>10</v>
      </c>
      <c r="F228" t="s">
        <v>11</v>
      </c>
      <c r="G228">
        <v>5138</v>
      </c>
      <c r="H228" t="str">
        <f>VLOOKUP(B228,Sheet1!C:D,2,0)</f>
        <v>电视剧-8582</v>
      </c>
    </row>
    <row r="229" spans="1:8" x14ac:dyDescent="0.25">
      <c r="A229" t="s">
        <v>925</v>
      </c>
      <c r="B229" t="s">
        <v>926</v>
      </c>
      <c r="C229" t="s">
        <v>9</v>
      </c>
      <c r="E229" t="s">
        <v>10</v>
      </c>
      <c r="F229" t="s">
        <v>11</v>
      </c>
      <c r="G229">
        <v>5867</v>
      </c>
      <c r="H229" t="str">
        <f>VLOOKUP(B229,Sheet1!C:D,2,0)</f>
        <v>电视剧-8595</v>
      </c>
    </row>
    <row r="230" spans="1:8" x14ac:dyDescent="0.25">
      <c r="A230" t="s">
        <v>927</v>
      </c>
      <c r="B230" t="s">
        <v>928</v>
      </c>
      <c r="C230" t="s">
        <v>9</v>
      </c>
      <c r="E230" t="s">
        <v>10</v>
      </c>
      <c r="F230" t="s">
        <v>11</v>
      </c>
      <c r="G230">
        <v>4843</v>
      </c>
      <c r="H230" t="str">
        <f>VLOOKUP(B230,Sheet1!C:D,2,0)</f>
        <v>电视剧-8598</v>
      </c>
    </row>
    <row r="231" spans="1:8" x14ac:dyDescent="0.25">
      <c r="A231" t="s">
        <v>939</v>
      </c>
      <c r="B231" t="s">
        <v>940</v>
      </c>
      <c r="C231" t="s">
        <v>9</v>
      </c>
      <c r="E231" t="s">
        <v>10</v>
      </c>
      <c r="F231" t="s">
        <v>11</v>
      </c>
      <c r="G231">
        <v>4611</v>
      </c>
      <c r="H231" t="str">
        <f>VLOOKUP(B231,Sheet1!C:D,2,0)</f>
        <v>电视剧-8607</v>
      </c>
    </row>
    <row r="232" spans="1:8" x14ac:dyDescent="0.25">
      <c r="A232" t="s">
        <v>941</v>
      </c>
      <c r="B232" t="s">
        <v>942</v>
      </c>
      <c r="C232" t="s">
        <v>9</v>
      </c>
      <c r="E232" t="s">
        <v>10</v>
      </c>
      <c r="F232" t="s">
        <v>11</v>
      </c>
      <c r="G232">
        <v>4627</v>
      </c>
      <c r="H232" t="str">
        <f>VLOOKUP(B232,Sheet1!C:D,2,0)</f>
        <v>电视剧-8609</v>
      </c>
    </row>
    <row r="233" spans="1:8" x14ac:dyDescent="0.25">
      <c r="A233" t="s">
        <v>945</v>
      </c>
      <c r="B233" t="s">
        <v>946</v>
      </c>
      <c r="C233" t="s">
        <v>9</v>
      </c>
      <c r="E233" t="s">
        <v>10</v>
      </c>
      <c r="F233" t="s">
        <v>11</v>
      </c>
      <c r="G233">
        <v>3776</v>
      </c>
      <c r="H233" t="str">
        <f>VLOOKUP(B233,Sheet1!C:D,2,0)</f>
        <v>电视剧-8610</v>
      </c>
    </row>
    <row r="234" spans="1:8" x14ac:dyDescent="0.25">
      <c r="A234" t="s">
        <v>955</v>
      </c>
      <c r="B234" t="s">
        <v>956</v>
      </c>
      <c r="C234" t="s">
        <v>9</v>
      </c>
      <c r="E234" t="s">
        <v>10</v>
      </c>
      <c r="F234" t="s">
        <v>11</v>
      </c>
      <c r="G234">
        <v>4859</v>
      </c>
      <c r="H234" t="str">
        <f>VLOOKUP(B234,Sheet1!C:D,2,0)</f>
        <v>电视剧-8615</v>
      </c>
    </row>
    <row r="235" spans="1:8" x14ac:dyDescent="0.25">
      <c r="A235" t="s">
        <v>961</v>
      </c>
      <c r="B235" t="s">
        <v>962</v>
      </c>
      <c r="C235" t="s">
        <v>9</v>
      </c>
      <c r="E235" t="s">
        <v>10</v>
      </c>
      <c r="F235" t="s">
        <v>11</v>
      </c>
      <c r="G235">
        <v>4670</v>
      </c>
      <c r="H235" t="str">
        <f>VLOOKUP(B235,Sheet1!C:D,2,0)</f>
        <v>电视剧-8618</v>
      </c>
    </row>
    <row r="236" spans="1:8" x14ac:dyDescent="0.25">
      <c r="A236" t="s">
        <v>967</v>
      </c>
      <c r="B236" t="s">
        <v>968</v>
      </c>
      <c r="C236" t="s">
        <v>9</v>
      </c>
      <c r="E236" t="s">
        <v>10</v>
      </c>
      <c r="F236" t="s">
        <v>11</v>
      </c>
      <c r="G236">
        <v>4419</v>
      </c>
      <c r="H236" t="str">
        <f>VLOOKUP(B236,Sheet1!C:D,2,0)</f>
        <v>电视剧-8621</v>
      </c>
    </row>
    <row r="237" spans="1:8" x14ac:dyDescent="0.25">
      <c r="A237" t="s">
        <v>969</v>
      </c>
      <c r="B237" t="s">
        <v>970</v>
      </c>
      <c r="C237" t="s">
        <v>9</v>
      </c>
      <c r="E237" t="s">
        <v>10</v>
      </c>
      <c r="F237" t="s">
        <v>11</v>
      </c>
      <c r="G237">
        <v>3927</v>
      </c>
      <c r="H237" t="str">
        <f>VLOOKUP(B237,Sheet1!C:D,2,0)</f>
        <v>电视剧-8624</v>
      </c>
    </row>
    <row r="238" spans="1:8" x14ac:dyDescent="0.25">
      <c r="A238" t="s">
        <v>979</v>
      </c>
      <c r="B238" t="s">
        <v>980</v>
      </c>
      <c r="C238" t="s">
        <v>9</v>
      </c>
      <c r="E238" t="s">
        <v>10</v>
      </c>
      <c r="F238" t="s">
        <v>11</v>
      </c>
      <c r="G238">
        <v>4782</v>
      </c>
      <c r="H238" t="str">
        <f>VLOOKUP(B238,Sheet1!C:D,2,0)</f>
        <v>电视剧-8627</v>
      </c>
    </row>
    <row r="239" spans="1:8" x14ac:dyDescent="0.25">
      <c r="A239" t="s">
        <v>1005</v>
      </c>
      <c r="B239" t="s">
        <v>1006</v>
      </c>
      <c r="C239" t="s">
        <v>9</v>
      </c>
      <c r="E239" t="s">
        <v>10</v>
      </c>
      <c r="F239" t="s">
        <v>11</v>
      </c>
      <c r="G239">
        <v>5007</v>
      </c>
      <c r="H239" t="str">
        <f>VLOOKUP(B239,Sheet1!C:D,2,0)</f>
        <v>电视剧-8644</v>
      </c>
    </row>
    <row r="240" spans="1:8" x14ac:dyDescent="0.25">
      <c r="A240" t="s">
        <v>1035</v>
      </c>
      <c r="B240" t="s">
        <v>1036</v>
      </c>
      <c r="C240" t="s">
        <v>9</v>
      </c>
      <c r="E240" t="s">
        <v>10</v>
      </c>
      <c r="F240" t="s">
        <v>11</v>
      </c>
      <c r="G240">
        <v>4500</v>
      </c>
      <c r="H240" t="str">
        <f>VLOOKUP(B240,Sheet1!C:D,2,0)</f>
        <v>电视剧-8663</v>
      </c>
    </row>
    <row r="241" spans="1:8" x14ac:dyDescent="0.25">
      <c r="A241" t="s">
        <v>1045</v>
      </c>
      <c r="B241" t="s">
        <v>1046</v>
      </c>
      <c r="C241" t="s">
        <v>9</v>
      </c>
      <c r="E241" t="s">
        <v>10</v>
      </c>
      <c r="F241" t="s">
        <v>11</v>
      </c>
      <c r="G241">
        <v>5373</v>
      </c>
      <c r="H241" t="str">
        <f>VLOOKUP(B241,Sheet1!C:D,2,0)</f>
        <v>电视剧-8666</v>
      </c>
    </row>
    <row r="242" spans="1:8" x14ac:dyDescent="0.25">
      <c r="A242" t="s">
        <v>1047</v>
      </c>
      <c r="B242" t="s">
        <v>1048</v>
      </c>
      <c r="C242" t="s">
        <v>9</v>
      </c>
      <c r="E242" t="s">
        <v>10</v>
      </c>
      <c r="F242" t="s">
        <v>11</v>
      </c>
      <c r="G242">
        <v>3940</v>
      </c>
      <c r="H242" t="str">
        <f>VLOOKUP(B242,Sheet1!C:D,2,0)</f>
        <v>电视剧-8669</v>
      </c>
    </row>
    <row r="243" spans="1:8" x14ac:dyDescent="0.25">
      <c r="A243" t="s">
        <v>1055</v>
      </c>
      <c r="B243" t="s">
        <v>1056</v>
      </c>
      <c r="C243" t="s">
        <v>9</v>
      </c>
      <c r="E243" t="s">
        <v>10</v>
      </c>
      <c r="F243" t="s">
        <v>11</v>
      </c>
      <c r="G243">
        <v>3969</v>
      </c>
      <c r="H243" t="str">
        <f>VLOOKUP(B243,Sheet1!C:D,2,0)</f>
        <v>电视剧-8676</v>
      </c>
    </row>
    <row r="244" spans="1:8" x14ac:dyDescent="0.25">
      <c r="A244" t="s">
        <v>1059</v>
      </c>
      <c r="B244" t="s">
        <v>1060</v>
      </c>
      <c r="C244" t="s">
        <v>9</v>
      </c>
      <c r="E244" t="s">
        <v>10</v>
      </c>
      <c r="F244" t="s">
        <v>11</v>
      </c>
      <c r="G244">
        <v>4420</v>
      </c>
      <c r="H244" t="str">
        <f>VLOOKUP(B244,Sheet1!C:D,2,0)</f>
        <v>电视剧-8678</v>
      </c>
    </row>
    <row r="245" spans="1:8" x14ac:dyDescent="0.25">
      <c r="A245" t="s">
        <v>1078</v>
      </c>
      <c r="B245" t="s">
        <v>1079</v>
      </c>
      <c r="C245" t="s">
        <v>9</v>
      </c>
      <c r="E245" t="s">
        <v>10</v>
      </c>
      <c r="F245" t="s">
        <v>11</v>
      </c>
      <c r="G245">
        <v>4955</v>
      </c>
      <c r="H245" t="str">
        <f>VLOOKUP(B245,Sheet1!C:D,2,0)</f>
        <v>电视剧-8690</v>
      </c>
    </row>
    <row r="246" spans="1:8" x14ac:dyDescent="0.25">
      <c r="A246" t="s">
        <v>1080</v>
      </c>
      <c r="B246" t="s">
        <v>1081</v>
      </c>
      <c r="C246" t="s">
        <v>9</v>
      </c>
      <c r="E246" t="s">
        <v>10</v>
      </c>
      <c r="F246" t="s">
        <v>11</v>
      </c>
      <c r="G246">
        <v>5534</v>
      </c>
      <c r="H246" t="str">
        <f>VLOOKUP(B246,Sheet1!C:D,2,0)</f>
        <v>电视剧-8693</v>
      </c>
    </row>
    <row r="247" spans="1:8" x14ac:dyDescent="0.25">
      <c r="A247" t="s">
        <v>1084</v>
      </c>
      <c r="B247" t="s">
        <v>1085</v>
      </c>
      <c r="C247" t="s">
        <v>9</v>
      </c>
      <c r="E247" t="s">
        <v>10</v>
      </c>
      <c r="F247" t="s">
        <v>11</v>
      </c>
      <c r="G247">
        <v>4546</v>
      </c>
      <c r="H247" t="str">
        <f>VLOOKUP(B247,Sheet1!C:D,2,0)</f>
        <v>电视剧-8697</v>
      </c>
    </row>
    <row r="248" spans="1:8" x14ac:dyDescent="0.25">
      <c r="A248" t="s">
        <v>1086</v>
      </c>
      <c r="B248" t="s">
        <v>1087</v>
      </c>
      <c r="C248" t="s">
        <v>9</v>
      </c>
      <c r="E248" t="s">
        <v>10</v>
      </c>
      <c r="F248" t="s">
        <v>11</v>
      </c>
      <c r="G248">
        <v>4251</v>
      </c>
      <c r="H248" t="str">
        <f>VLOOKUP(B248,Sheet1!C:D,2,0)</f>
        <v>电视剧-8699</v>
      </c>
    </row>
    <row r="249" spans="1:8" x14ac:dyDescent="0.25">
      <c r="A249" t="s">
        <v>1092</v>
      </c>
      <c r="B249" t="s">
        <v>1093</v>
      </c>
      <c r="C249" t="s">
        <v>9</v>
      </c>
      <c r="E249" t="s">
        <v>10</v>
      </c>
      <c r="F249" t="s">
        <v>11</v>
      </c>
      <c r="G249">
        <v>3743</v>
      </c>
      <c r="H249" t="str">
        <f>VLOOKUP(B249,Sheet1!C:D,2,0)</f>
        <v>电视剧-8702</v>
      </c>
    </row>
    <row r="250" spans="1:8" x14ac:dyDescent="0.25">
      <c r="A250" t="s">
        <v>1090</v>
      </c>
      <c r="B250" t="s">
        <v>1091</v>
      </c>
      <c r="C250" t="s">
        <v>9</v>
      </c>
      <c r="E250" t="s">
        <v>10</v>
      </c>
      <c r="F250" t="s">
        <v>11</v>
      </c>
      <c r="G250">
        <v>4669</v>
      </c>
      <c r="H250" t="str">
        <f>VLOOKUP(B250,Sheet1!C:D,2,0)</f>
        <v>电视剧-8705</v>
      </c>
    </row>
    <row r="251" spans="1:8" x14ac:dyDescent="0.25">
      <c r="A251" t="s">
        <v>1094</v>
      </c>
      <c r="B251" t="s">
        <v>1095</v>
      </c>
      <c r="C251" t="s">
        <v>9</v>
      </c>
      <c r="E251" t="s">
        <v>10</v>
      </c>
      <c r="F251" t="s">
        <v>11</v>
      </c>
      <c r="G251">
        <v>4991</v>
      </c>
      <c r="H251" t="str">
        <f>VLOOKUP(B251,Sheet1!C:D,2,0)</f>
        <v>电视剧-8708</v>
      </c>
    </row>
    <row r="252" spans="1:8" x14ac:dyDescent="0.25">
      <c r="A252" t="s">
        <v>1098</v>
      </c>
      <c r="B252" t="s">
        <v>1099</v>
      </c>
      <c r="C252" t="s">
        <v>9</v>
      </c>
      <c r="E252" t="s">
        <v>10</v>
      </c>
      <c r="F252" t="s">
        <v>11</v>
      </c>
      <c r="G252">
        <v>4708</v>
      </c>
      <c r="H252" t="str">
        <f>VLOOKUP(B252,Sheet1!C:D,2,0)</f>
        <v>电视剧-8710</v>
      </c>
    </row>
    <row r="253" spans="1:8" x14ac:dyDescent="0.25">
      <c r="A253" t="s">
        <v>1100</v>
      </c>
      <c r="B253" t="s">
        <v>1101</v>
      </c>
      <c r="C253" t="s">
        <v>9</v>
      </c>
      <c r="E253" t="s">
        <v>10</v>
      </c>
      <c r="F253" t="s">
        <v>11</v>
      </c>
      <c r="G253">
        <v>4437</v>
      </c>
      <c r="H253" t="str">
        <f>VLOOKUP(B253,Sheet1!C:D,2,0)</f>
        <v>电视剧-8711</v>
      </c>
    </row>
    <row r="254" spans="1:8" x14ac:dyDescent="0.25">
      <c r="A254" t="s">
        <v>1106</v>
      </c>
      <c r="B254" t="s">
        <v>1107</v>
      </c>
      <c r="C254" t="s">
        <v>9</v>
      </c>
      <c r="E254" t="s">
        <v>10</v>
      </c>
      <c r="F254" t="s">
        <v>11</v>
      </c>
      <c r="G254">
        <v>3928</v>
      </c>
      <c r="H254" t="str">
        <f>VLOOKUP(B254,Sheet1!C:D,2,0)</f>
        <v>电视剧-8716</v>
      </c>
    </row>
    <row r="255" spans="1:8" x14ac:dyDescent="0.25">
      <c r="A255" t="s">
        <v>1116</v>
      </c>
      <c r="B255" t="s">
        <v>1117</v>
      </c>
      <c r="C255" t="s">
        <v>9</v>
      </c>
      <c r="E255" t="s">
        <v>10</v>
      </c>
      <c r="F255" t="s">
        <v>11</v>
      </c>
      <c r="G255">
        <v>3912</v>
      </c>
      <c r="H255" t="str">
        <f>VLOOKUP(B255,Sheet1!C:D,2,0)</f>
        <v>电视剧-8724</v>
      </c>
    </row>
    <row r="256" spans="1:8" x14ac:dyDescent="0.25">
      <c r="A256" t="s">
        <v>1114</v>
      </c>
      <c r="B256" t="s">
        <v>1115</v>
      </c>
      <c r="C256" t="s">
        <v>9</v>
      </c>
      <c r="E256" t="s">
        <v>10</v>
      </c>
      <c r="F256" t="s">
        <v>11</v>
      </c>
      <c r="G256">
        <v>3642</v>
      </c>
      <c r="H256" t="str">
        <f>VLOOKUP(B256,Sheet1!C:D,2,0)</f>
        <v>电视剧-8725</v>
      </c>
    </row>
    <row r="257" spans="1:8" x14ac:dyDescent="0.25">
      <c r="A257" t="s">
        <v>1158</v>
      </c>
      <c r="B257" t="s">
        <v>1159</v>
      </c>
      <c r="C257" t="s">
        <v>9</v>
      </c>
      <c r="E257" t="s">
        <v>10</v>
      </c>
      <c r="F257" t="s">
        <v>11</v>
      </c>
      <c r="G257">
        <v>4954</v>
      </c>
      <c r="H257" t="str">
        <f>VLOOKUP(B257,Sheet1!C:D,2,0)</f>
        <v>电视剧-8756</v>
      </c>
    </row>
    <row r="258" spans="1:8" x14ac:dyDescent="0.25">
      <c r="A258" t="s">
        <v>1170</v>
      </c>
      <c r="B258" t="s">
        <v>1171</v>
      </c>
      <c r="C258" t="s">
        <v>9</v>
      </c>
      <c r="E258" t="s">
        <v>10</v>
      </c>
      <c r="F258" t="s">
        <v>11</v>
      </c>
      <c r="G258">
        <v>3730</v>
      </c>
      <c r="H258" t="str">
        <f>VLOOKUP(B258,Sheet1!C:D,2,0)</f>
        <v>电视剧-8779</v>
      </c>
    </row>
    <row r="259" spans="1:8" x14ac:dyDescent="0.25">
      <c r="A259" t="s">
        <v>1172</v>
      </c>
      <c r="B259" t="s">
        <v>1173</v>
      </c>
      <c r="C259" t="s">
        <v>9</v>
      </c>
      <c r="E259" t="s">
        <v>10</v>
      </c>
      <c r="F259" t="s">
        <v>11</v>
      </c>
      <c r="G259">
        <v>4371</v>
      </c>
      <c r="H259" t="str">
        <f>VLOOKUP(B259,Sheet1!C:D,2,0)</f>
        <v>电视剧-8782</v>
      </c>
    </row>
    <row r="260" spans="1:8" x14ac:dyDescent="0.25">
      <c r="A260" t="s">
        <v>1174</v>
      </c>
      <c r="B260" t="s">
        <v>1175</v>
      </c>
      <c r="C260" t="s">
        <v>9</v>
      </c>
      <c r="E260" t="s">
        <v>10</v>
      </c>
      <c r="F260" t="s">
        <v>11</v>
      </c>
      <c r="G260">
        <v>4904</v>
      </c>
      <c r="H260" t="str">
        <f>VLOOKUP(B260,Sheet1!C:D,2,0)</f>
        <v>电视剧-8785</v>
      </c>
    </row>
    <row r="261" spans="1:8" x14ac:dyDescent="0.25">
      <c r="A261" t="s">
        <v>1176</v>
      </c>
      <c r="B261" t="s">
        <v>1177</v>
      </c>
      <c r="C261" t="s">
        <v>9</v>
      </c>
      <c r="E261" t="s">
        <v>10</v>
      </c>
      <c r="F261" t="s">
        <v>11</v>
      </c>
      <c r="G261">
        <v>3972</v>
      </c>
      <c r="H261" t="str">
        <f>VLOOKUP(B261,Sheet1!C:D,2,0)</f>
        <v>电视剧-8788</v>
      </c>
    </row>
    <row r="262" spans="1:8" x14ac:dyDescent="0.25">
      <c r="A262" t="s">
        <v>1178</v>
      </c>
      <c r="B262" t="s">
        <v>1179</v>
      </c>
      <c r="C262" t="s">
        <v>9</v>
      </c>
      <c r="E262" t="s">
        <v>10</v>
      </c>
      <c r="F262" t="s">
        <v>11</v>
      </c>
      <c r="G262">
        <v>4361</v>
      </c>
      <c r="H262" t="str">
        <f>VLOOKUP(B262,Sheet1!C:D,2,0)</f>
        <v>电视剧-8791</v>
      </c>
    </row>
    <row r="263" spans="1:8" x14ac:dyDescent="0.25">
      <c r="A263" t="s">
        <v>1182</v>
      </c>
      <c r="B263" t="s">
        <v>1183</v>
      </c>
      <c r="C263" t="s">
        <v>9</v>
      </c>
      <c r="E263" t="s">
        <v>10</v>
      </c>
      <c r="F263" t="s">
        <v>11</v>
      </c>
      <c r="G263">
        <v>5448</v>
      </c>
      <c r="H263" t="str">
        <f>VLOOKUP(B263,Sheet1!C:D,2,0)</f>
        <v>电视剧-8797</v>
      </c>
    </row>
    <row r="264" spans="1:8" x14ac:dyDescent="0.25">
      <c r="A264" t="s">
        <v>1188</v>
      </c>
      <c r="B264" t="s">
        <v>1189</v>
      </c>
      <c r="C264" t="s">
        <v>9</v>
      </c>
      <c r="E264" t="s">
        <v>10</v>
      </c>
      <c r="F264" t="s">
        <v>11</v>
      </c>
      <c r="G264">
        <v>3685</v>
      </c>
      <c r="H264" t="str">
        <f>VLOOKUP(B264,Sheet1!C:D,2,0)</f>
        <v>电视剧-8809</v>
      </c>
    </row>
    <row r="265" spans="1:8" x14ac:dyDescent="0.25">
      <c r="A265" t="s">
        <v>1202</v>
      </c>
      <c r="B265" t="s">
        <v>1203</v>
      </c>
      <c r="C265" t="s">
        <v>9</v>
      </c>
      <c r="E265" t="s">
        <v>10</v>
      </c>
      <c r="F265" t="s">
        <v>11</v>
      </c>
      <c r="G265">
        <v>4560</v>
      </c>
      <c r="H265" t="str">
        <f>VLOOKUP(B265,Sheet1!C:D,2,0)</f>
        <v>电视剧-8823</v>
      </c>
    </row>
    <row r="266" spans="1:8" x14ac:dyDescent="0.25">
      <c r="A266" t="s">
        <v>1252</v>
      </c>
      <c r="B266" t="s">
        <v>1253</v>
      </c>
      <c r="C266" t="s">
        <v>9</v>
      </c>
      <c r="E266" t="s">
        <v>10</v>
      </c>
      <c r="F266" t="s">
        <v>11</v>
      </c>
      <c r="G266">
        <v>4701</v>
      </c>
      <c r="H266" t="str">
        <f>VLOOKUP(B266,Sheet1!C:D,2,0)</f>
        <v>电视剧-8893</v>
      </c>
    </row>
    <row r="267" spans="1:8" x14ac:dyDescent="0.25">
      <c r="A267" t="s">
        <v>1254</v>
      </c>
      <c r="B267" t="s">
        <v>1255</v>
      </c>
      <c r="C267" t="s">
        <v>9</v>
      </c>
      <c r="E267" t="s">
        <v>10</v>
      </c>
      <c r="F267" t="s">
        <v>11</v>
      </c>
      <c r="G267">
        <v>4535</v>
      </c>
      <c r="H267" t="str">
        <f>VLOOKUP(B267,Sheet1!C:D,2,0)</f>
        <v>电视剧-8896</v>
      </c>
    </row>
    <row r="268" spans="1:8" x14ac:dyDescent="0.25">
      <c r="A268" t="s">
        <v>1257</v>
      </c>
      <c r="B268" t="s">
        <v>1258</v>
      </c>
      <c r="C268" t="s">
        <v>9</v>
      </c>
      <c r="E268" t="s">
        <v>10</v>
      </c>
      <c r="F268" t="s">
        <v>11</v>
      </c>
      <c r="G268">
        <v>4849</v>
      </c>
      <c r="H268" t="str">
        <f>VLOOKUP(B268,Sheet1!C:D,2,0)</f>
        <v>电视剧-8899</v>
      </c>
    </row>
    <row r="269" spans="1:8" x14ac:dyDescent="0.25">
      <c r="A269" t="s">
        <v>1265</v>
      </c>
      <c r="B269" t="s">
        <v>1266</v>
      </c>
      <c r="C269" t="s">
        <v>9</v>
      </c>
      <c r="E269" t="s">
        <v>10</v>
      </c>
      <c r="F269" t="s">
        <v>11</v>
      </c>
      <c r="G269">
        <v>4848</v>
      </c>
      <c r="H269" t="str">
        <f>VLOOKUP(B269,Sheet1!C:D,2,0)</f>
        <v>电视剧-8911</v>
      </c>
    </row>
    <row r="270" spans="1:8" x14ac:dyDescent="0.25">
      <c r="A270" t="s">
        <v>1069</v>
      </c>
      <c r="B270" t="s">
        <v>1070</v>
      </c>
      <c r="C270" t="s">
        <v>9</v>
      </c>
      <c r="E270" t="s">
        <v>10</v>
      </c>
      <c r="F270" t="s">
        <v>11</v>
      </c>
      <c r="G270">
        <v>5285</v>
      </c>
      <c r="H270" t="str">
        <f>VLOOKUP(B270,Sheet1!C:D,2,0)</f>
        <v>电影-8685</v>
      </c>
    </row>
    <row r="271" spans="1:8" x14ac:dyDescent="0.25">
      <c r="A271" t="s">
        <v>1102</v>
      </c>
      <c r="B271" t="s">
        <v>1103</v>
      </c>
      <c r="C271" t="s">
        <v>9</v>
      </c>
      <c r="E271" t="s">
        <v>10</v>
      </c>
      <c r="F271" t="s">
        <v>11</v>
      </c>
      <c r="G271">
        <v>4447</v>
      </c>
      <c r="H271" t="str">
        <f>VLOOKUP(B271,Sheet1!C:D,2,0)</f>
        <v>电影-8714</v>
      </c>
    </row>
    <row r="272" spans="1:8" x14ac:dyDescent="0.25">
      <c r="A272" t="s">
        <v>1138</v>
      </c>
      <c r="B272" t="s">
        <v>1139</v>
      </c>
      <c r="C272" t="s">
        <v>9</v>
      </c>
      <c r="E272" t="s">
        <v>10</v>
      </c>
      <c r="F272" t="s">
        <v>11</v>
      </c>
      <c r="G272">
        <v>4463</v>
      </c>
      <c r="H272" t="str">
        <f>VLOOKUP(B272,Sheet1!C:D,2,0)</f>
        <v>电影-8740</v>
      </c>
    </row>
    <row r="273" spans="1:8" x14ac:dyDescent="0.25">
      <c r="A273" t="s">
        <v>98</v>
      </c>
      <c r="B273" t="s">
        <v>99</v>
      </c>
      <c r="C273" t="s">
        <v>9</v>
      </c>
      <c r="E273" t="s">
        <v>10</v>
      </c>
      <c r="F273" t="s">
        <v>11</v>
      </c>
      <c r="G273">
        <v>3900</v>
      </c>
      <c r="H273" t="str">
        <f>VLOOKUP(B273,Sheet1!C:D,2,0)</f>
        <v>东方卫视</v>
      </c>
    </row>
    <row r="274" spans="1:8" x14ac:dyDescent="0.25">
      <c r="A274" t="s">
        <v>168</v>
      </c>
      <c r="B274" t="s">
        <v>169</v>
      </c>
      <c r="C274" t="s">
        <v>9</v>
      </c>
      <c r="E274" t="s">
        <v>10</v>
      </c>
      <c r="F274" t="s">
        <v>11</v>
      </c>
      <c r="G274">
        <v>3930</v>
      </c>
      <c r="H274" t="str">
        <f>VLOOKUP(B274,Sheet1!C:D,2,0)</f>
        <v>东方卫视</v>
      </c>
    </row>
    <row r="275" spans="1:8" x14ac:dyDescent="0.25">
      <c r="A275" t="s">
        <v>218</v>
      </c>
      <c r="B275" t="s">
        <v>219</v>
      </c>
      <c r="C275" t="s">
        <v>9</v>
      </c>
      <c r="E275" t="s">
        <v>10</v>
      </c>
      <c r="F275" t="s">
        <v>11</v>
      </c>
      <c r="G275">
        <v>3875</v>
      </c>
      <c r="H275" t="str">
        <f>VLOOKUP(B275,Sheet1!C:D,2,0)</f>
        <v>东方卫视</v>
      </c>
    </row>
    <row r="276" spans="1:8" x14ac:dyDescent="0.25">
      <c r="A276" t="s">
        <v>241</v>
      </c>
      <c r="B276" t="s">
        <v>242</v>
      </c>
      <c r="C276" t="s">
        <v>9</v>
      </c>
      <c r="E276" t="s">
        <v>10</v>
      </c>
      <c r="F276" t="s">
        <v>11</v>
      </c>
      <c r="G276">
        <v>3918</v>
      </c>
      <c r="H276" t="str">
        <f>VLOOKUP(B276,Sheet1!C:D,2,0)</f>
        <v>东方卫视</v>
      </c>
    </row>
    <row r="277" spans="1:8" x14ac:dyDescent="0.25">
      <c r="A277" t="s">
        <v>329</v>
      </c>
      <c r="B277" t="s">
        <v>330</v>
      </c>
      <c r="C277" t="s">
        <v>9</v>
      </c>
      <c r="E277" t="s">
        <v>10</v>
      </c>
      <c r="F277" t="s">
        <v>11</v>
      </c>
      <c r="G277">
        <v>3981</v>
      </c>
      <c r="H277" t="str">
        <f>VLOOKUP(B277,Sheet1!C:D,2,0)</f>
        <v>东方卫视</v>
      </c>
    </row>
    <row r="278" spans="1:8" x14ac:dyDescent="0.25">
      <c r="A278" t="s">
        <v>431</v>
      </c>
      <c r="B278" t="s">
        <v>432</v>
      </c>
      <c r="C278" t="s">
        <v>9</v>
      </c>
      <c r="E278" t="s">
        <v>10</v>
      </c>
      <c r="F278" t="s">
        <v>11</v>
      </c>
      <c r="G278">
        <v>3984</v>
      </c>
      <c r="H278" t="str">
        <f>VLOOKUP(B278,Sheet1!C:D,2,0)</f>
        <v>东方卫视</v>
      </c>
    </row>
    <row r="279" spans="1:8" x14ac:dyDescent="0.25">
      <c r="A279" t="s">
        <v>489</v>
      </c>
      <c r="B279" t="s">
        <v>490</v>
      </c>
      <c r="C279" t="s">
        <v>9</v>
      </c>
      <c r="E279" t="s">
        <v>10</v>
      </c>
      <c r="F279" t="s">
        <v>11</v>
      </c>
      <c r="G279">
        <v>3952</v>
      </c>
      <c r="H279" t="str">
        <f>VLOOKUP(B279,Sheet1!C:D,2,0)</f>
        <v>东方卫视</v>
      </c>
    </row>
    <row r="280" spans="1:8" x14ac:dyDescent="0.25">
      <c r="A280" t="s">
        <v>633</v>
      </c>
      <c r="B280" t="s">
        <v>634</v>
      </c>
      <c r="C280" t="s">
        <v>9</v>
      </c>
      <c r="E280" t="s">
        <v>10</v>
      </c>
      <c r="F280" t="s">
        <v>11</v>
      </c>
      <c r="G280">
        <v>3912</v>
      </c>
      <c r="H280" t="str">
        <f>VLOOKUP(B280,Sheet1!C:D,2,0)</f>
        <v>东方卫视</v>
      </c>
    </row>
    <row r="281" spans="1:8" x14ac:dyDescent="0.25">
      <c r="A281" t="s">
        <v>769</v>
      </c>
      <c r="B281" t="s">
        <v>770</v>
      </c>
      <c r="C281" t="s">
        <v>9</v>
      </c>
      <c r="E281" t="s">
        <v>10</v>
      </c>
      <c r="F281" t="s">
        <v>11</v>
      </c>
      <c r="G281">
        <v>3908</v>
      </c>
      <c r="H281" t="str">
        <f>VLOOKUP(B281,Sheet1!C:D,2,0)</f>
        <v>东方卫视</v>
      </c>
    </row>
    <row r="282" spans="1:8" x14ac:dyDescent="0.25">
      <c r="A282" t="s">
        <v>809</v>
      </c>
      <c r="B282" t="s">
        <v>810</v>
      </c>
      <c r="C282" t="s">
        <v>9</v>
      </c>
      <c r="E282" t="s">
        <v>10</v>
      </c>
      <c r="F282" t="s">
        <v>11</v>
      </c>
      <c r="G282">
        <v>3638</v>
      </c>
      <c r="H282" t="str">
        <f>VLOOKUP(B282,Sheet1!C:D,2,0)</f>
        <v>东方卫视</v>
      </c>
    </row>
    <row r="283" spans="1:8" x14ac:dyDescent="0.25">
      <c r="A283" t="s">
        <v>497</v>
      </c>
      <c r="B283" t="s">
        <v>498</v>
      </c>
      <c r="C283" t="s">
        <v>9</v>
      </c>
      <c r="E283" t="s">
        <v>10</v>
      </c>
      <c r="F283" t="s">
        <v>11</v>
      </c>
      <c r="G283">
        <v>3677</v>
      </c>
      <c r="H283" t="str">
        <f>VLOOKUP(B283,Sheet1!C:D,2,0)</f>
        <v>东海文娱</v>
      </c>
    </row>
    <row r="284" spans="1:8" x14ac:dyDescent="0.25">
      <c r="A284" t="s">
        <v>519</v>
      </c>
      <c r="B284" t="s">
        <v>520</v>
      </c>
      <c r="C284" t="s">
        <v>9</v>
      </c>
      <c r="E284" t="s">
        <v>10</v>
      </c>
      <c r="F284" t="s">
        <v>11</v>
      </c>
      <c r="G284">
        <v>3648</v>
      </c>
      <c r="H284" t="str">
        <f>VLOOKUP(B284,Sheet1!C:D,2,0)</f>
        <v>东海综合</v>
      </c>
    </row>
    <row r="285" spans="1:8" x14ac:dyDescent="0.25">
      <c r="A285" t="s">
        <v>289</v>
      </c>
      <c r="B285" t="s">
        <v>290</v>
      </c>
      <c r="C285" t="s">
        <v>9</v>
      </c>
      <c r="E285" t="s">
        <v>10</v>
      </c>
      <c r="F285" t="s">
        <v>11</v>
      </c>
      <c r="G285">
        <v>3972</v>
      </c>
      <c r="H285" t="str">
        <f>VLOOKUP(B285,Sheet1!C:D,2,0)</f>
        <v>东南卫视</v>
      </c>
    </row>
    <row r="286" spans="1:8" x14ac:dyDescent="0.25">
      <c r="A286" t="s">
        <v>409</v>
      </c>
      <c r="B286" t="s">
        <v>410</v>
      </c>
      <c r="C286" t="s">
        <v>9</v>
      </c>
      <c r="E286" t="s">
        <v>10</v>
      </c>
      <c r="F286" t="s">
        <v>11</v>
      </c>
      <c r="G286">
        <v>3903</v>
      </c>
      <c r="H286" t="str">
        <f>VLOOKUP(B286,Sheet1!C:D,2,0)</f>
        <v>东南卫视</v>
      </c>
    </row>
    <row r="287" spans="1:8" x14ac:dyDescent="0.25">
      <c r="A287" t="s">
        <v>791</v>
      </c>
      <c r="B287" t="s">
        <v>792</v>
      </c>
      <c r="C287" t="s">
        <v>9</v>
      </c>
      <c r="E287" t="s">
        <v>10</v>
      </c>
      <c r="F287" t="s">
        <v>11</v>
      </c>
      <c r="G287">
        <v>3752</v>
      </c>
      <c r="H287" t="str">
        <f>VLOOKUP(B287,Sheet1!C:D,2,0)</f>
        <v>动画-8456</v>
      </c>
    </row>
    <row r="288" spans="1:8" x14ac:dyDescent="0.25">
      <c r="A288" t="s">
        <v>793</v>
      </c>
      <c r="B288" t="s">
        <v>794</v>
      </c>
      <c r="C288" t="s">
        <v>9</v>
      </c>
      <c r="E288" t="s">
        <v>10</v>
      </c>
      <c r="F288" t="s">
        <v>11</v>
      </c>
      <c r="G288">
        <v>3691</v>
      </c>
      <c r="H288" t="str">
        <f>VLOOKUP(B288,Sheet1!C:D,2,0)</f>
        <v>动画-8460</v>
      </c>
    </row>
    <row r="289" spans="1:8" x14ac:dyDescent="0.25">
      <c r="A289" t="s">
        <v>797</v>
      </c>
      <c r="B289" t="s">
        <v>798</v>
      </c>
      <c r="C289" t="s">
        <v>9</v>
      </c>
      <c r="E289" t="s">
        <v>10</v>
      </c>
      <c r="F289" t="s">
        <v>11</v>
      </c>
      <c r="G289">
        <v>3998</v>
      </c>
      <c r="H289" t="str">
        <f>VLOOKUP(B289,Sheet1!C:D,2,0)</f>
        <v>动画-8463</v>
      </c>
    </row>
    <row r="290" spans="1:8" x14ac:dyDescent="0.25">
      <c r="A290" t="s">
        <v>853</v>
      </c>
      <c r="B290" t="s">
        <v>854</v>
      </c>
      <c r="C290" t="s">
        <v>9</v>
      </c>
      <c r="E290" t="s">
        <v>10</v>
      </c>
      <c r="F290" t="s">
        <v>11</v>
      </c>
      <c r="G290">
        <v>3812</v>
      </c>
      <c r="H290" t="str">
        <f>VLOOKUP(B290,Sheet1!C:D,2,0)</f>
        <v>动画-8536</v>
      </c>
    </row>
    <row r="291" spans="1:8" x14ac:dyDescent="0.25">
      <c r="A291" t="s">
        <v>857</v>
      </c>
      <c r="B291" t="s">
        <v>858</v>
      </c>
      <c r="C291" t="s">
        <v>9</v>
      </c>
      <c r="E291" t="s">
        <v>10</v>
      </c>
      <c r="F291" t="s">
        <v>11</v>
      </c>
      <c r="G291">
        <v>3829</v>
      </c>
      <c r="H291" t="str">
        <f>VLOOKUP(B291,Sheet1!C:D,2,0)</f>
        <v>动画-8539</v>
      </c>
    </row>
    <row r="292" spans="1:8" x14ac:dyDescent="0.25">
      <c r="A292" t="s">
        <v>903</v>
      </c>
      <c r="B292" t="s">
        <v>904</v>
      </c>
      <c r="C292" t="s">
        <v>9</v>
      </c>
      <c r="E292" t="s">
        <v>10</v>
      </c>
      <c r="F292" t="s">
        <v>11</v>
      </c>
      <c r="G292">
        <v>5643</v>
      </c>
      <c r="H292" t="str">
        <f>VLOOKUP(B292,Sheet1!C:D,2,0)</f>
        <v>动画-8579</v>
      </c>
    </row>
    <row r="293" spans="1:8" x14ac:dyDescent="0.25">
      <c r="A293" t="s">
        <v>933</v>
      </c>
      <c r="B293" t="s">
        <v>934</v>
      </c>
      <c r="C293" t="s">
        <v>9</v>
      </c>
      <c r="E293" t="s">
        <v>10</v>
      </c>
      <c r="F293" t="s">
        <v>11</v>
      </c>
      <c r="G293">
        <v>3844</v>
      </c>
      <c r="H293" t="str">
        <f>VLOOKUP(B293,Sheet1!C:D,2,0)</f>
        <v>动画-8603</v>
      </c>
    </row>
    <row r="294" spans="1:8" x14ac:dyDescent="0.25">
      <c r="A294" t="s">
        <v>335</v>
      </c>
      <c r="B294" t="s">
        <v>336</v>
      </c>
      <c r="C294" t="s">
        <v>9</v>
      </c>
      <c r="E294" t="s">
        <v>10</v>
      </c>
      <c r="F294" t="s">
        <v>11</v>
      </c>
      <c r="G294">
        <v>3861</v>
      </c>
      <c r="H294" t="str">
        <f>VLOOKUP(B294,Sheet1!C:D,2,0)</f>
        <v>动作电影</v>
      </c>
    </row>
    <row r="295" spans="1:8" x14ac:dyDescent="0.25">
      <c r="A295" t="s">
        <v>845</v>
      </c>
      <c r="B295" t="s">
        <v>846</v>
      </c>
      <c r="C295" t="s">
        <v>9</v>
      </c>
      <c r="E295" t="s">
        <v>10</v>
      </c>
      <c r="F295" t="s">
        <v>11</v>
      </c>
      <c r="G295">
        <v>4902</v>
      </c>
      <c r="H295" t="str">
        <f>VLOOKUP(B295,Sheet1!C:D,2,0)</f>
        <v>凤凰香港</v>
      </c>
    </row>
    <row r="296" spans="1:8" x14ac:dyDescent="0.25">
      <c r="A296" t="s">
        <v>839</v>
      </c>
      <c r="B296" t="s">
        <v>840</v>
      </c>
      <c r="C296" t="s">
        <v>9</v>
      </c>
      <c r="E296" t="s">
        <v>10</v>
      </c>
      <c r="F296" t="s">
        <v>11</v>
      </c>
      <c r="G296">
        <v>4868</v>
      </c>
      <c r="H296" t="str">
        <f>VLOOKUP(B296,Sheet1!C:D,2,0)</f>
        <v>凤凰中文</v>
      </c>
    </row>
    <row r="297" spans="1:8" x14ac:dyDescent="0.25">
      <c r="A297" t="s">
        <v>833</v>
      </c>
      <c r="B297" t="s">
        <v>834</v>
      </c>
      <c r="C297" t="s">
        <v>9</v>
      </c>
      <c r="E297" t="s">
        <v>10</v>
      </c>
      <c r="F297" t="s">
        <v>11</v>
      </c>
      <c r="G297">
        <v>3580</v>
      </c>
      <c r="H297" t="str">
        <f>VLOOKUP(B297,Sheet1!C:D,2,0)</f>
        <v>凤凰资讯</v>
      </c>
    </row>
    <row r="298" spans="1:8" x14ac:dyDescent="0.25">
      <c r="A298" t="s">
        <v>301</v>
      </c>
      <c r="B298" t="s">
        <v>302</v>
      </c>
      <c r="C298" t="s">
        <v>9</v>
      </c>
      <c r="E298" t="s">
        <v>10</v>
      </c>
      <c r="F298" t="s">
        <v>11</v>
      </c>
      <c r="G298">
        <v>3937</v>
      </c>
      <c r="H298" t="str">
        <f>VLOOKUP(B298,Sheet1!C:D,2,0)</f>
        <v>甘肃卫视</v>
      </c>
    </row>
    <row r="299" spans="1:8" x14ac:dyDescent="0.25">
      <c r="A299" t="s">
        <v>645</v>
      </c>
      <c r="B299" t="s">
        <v>646</v>
      </c>
      <c r="C299" t="s">
        <v>9</v>
      </c>
      <c r="E299" t="s">
        <v>10</v>
      </c>
      <c r="F299" t="s">
        <v>11</v>
      </c>
      <c r="G299">
        <v>3956</v>
      </c>
      <c r="H299" t="str">
        <f>VLOOKUP(B299,Sheet1!C:D,2,0)</f>
        <v>甘肃卫视</v>
      </c>
    </row>
    <row r="300" spans="1:8" x14ac:dyDescent="0.25">
      <c r="A300" t="s">
        <v>745</v>
      </c>
      <c r="B300" t="s">
        <v>746</v>
      </c>
      <c r="C300" t="s">
        <v>9</v>
      </c>
      <c r="E300" t="s">
        <v>10</v>
      </c>
      <c r="F300" t="s">
        <v>11</v>
      </c>
      <c r="G300">
        <v>3623</v>
      </c>
      <c r="H300" t="str">
        <f>VLOOKUP(B300,Sheet1!C:D,2,0)</f>
        <v>赣榆</v>
      </c>
    </row>
    <row r="301" spans="1:8" x14ac:dyDescent="0.25">
      <c r="A301" t="s">
        <v>70</v>
      </c>
      <c r="B301" t="s">
        <v>71</v>
      </c>
      <c r="C301" t="s">
        <v>9</v>
      </c>
      <c r="E301" t="s">
        <v>10</v>
      </c>
      <c r="F301" t="s">
        <v>11</v>
      </c>
      <c r="G301">
        <v>3957</v>
      </c>
      <c r="H301" t="str">
        <f>VLOOKUP(B301,Sheet1!C:D,2,0)</f>
        <v>购物-5956</v>
      </c>
    </row>
    <row r="302" spans="1:8" x14ac:dyDescent="0.25">
      <c r="A302" t="s">
        <v>303</v>
      </c>
      <c r="B302" t="s">
        <v>304</v>
      </c>
      <c r="C302" t="s">
        <v>9</v>
      </c>
      <c r="E302" t="s">
        <v>10</v>
      </c>
      <c r="F302" t="s">
        <v>11</v>
      </c>
      <c r="G302">
        <v>3881</v>
      </c>
      <c r="H302" t="str">
        <f>VLOOKUP(B302,Sheet1!C:D,2,0)</f>
        <v>购物-7570</v>
      </c>
    </row>
    <row r="303" spans="1:8" x14ac:dyDescent="0.25">
      <c r="A303" t="s">
        <v>655</v>
      </c>
      <c r="B303" t="s">
        <v>656</v>
      </c>
      <c r="C303" t="s">
        <v>9</v>
      </c>
      <c r="E303" t="s">
        <v>10</v>
      </c>
      <c r="F303" t="s">
        <v>11</v>
      </c>
      <c r="G303">
        <v>3965</v>
      </c>
      <c r="H303" t="str">
        <f>VLOOKUP(B303,Sheet1!C:D,2,0)</f>
        <v>购物-8172</v>
      </c>
    </row>
    <row r="304" spans="1:8" x14ac:dyDescent="0.25">
      <c r="A304" t="s">
        <v>683</v>
      </c>
      <c r="B304" t="s">
        <v>684</v>
      </c>
      <c r="C304" t="s">
        <v>9</v>
      </c>
      <c r="E304" t="s">
        <v>10</v>
      </c>
      <c r="F304" t="s">
        <v>11</v>
      </c>
      <c r="G304">
        <v>3926</v>
      </c>
      <c r="H304" t="str">
        <f>VLOOKUP(B304,Sheet1!C:D,2,0)</f>
        <v>购物-8210</v>
      </c>
    </row>
    <row r="305" spans="1:8" x14ac:dyDescent="0.25">
      <c r="A305" t="s">
        <v>899</v>
      </c>
      <c r="B305" t="s">
        <v>900</v>
      </c>
      <c r="C305" t="s">
        <v>9</v>
      </c>
      <c r="E305" t="s">
        <v>10</v>
      </c>
      <c r="F305" t="s">
        <v>11</v>
      </c>
      <c r="G305">
        <v>4066</v>
      </c>
      <c r="H305" t="str">
        <f>VLOOKUP(B305,Sheet1!C:D,2,0)</f>
        <v>购物-8576</v>
      </c>
    </row>
    <row r="306" spans="1:8" x14ac:dyDescent="0.25">
      <c r="A306" t="s">
        <v>1019</v>
      </c>
      <c r="B306" t="s">
        <v>1020</v>
      </c>
      <c r="C306" t="s">
        <v>9</v>
      </c>
      <c r="E306" t="s">
        <v>10</v>
      </c>
      <c r="F306" t="s">
        <v>11</v>
      </c>
      <c r="G306">
        <v>4790</v>
      </c>
      <c r="H306" t="str">
        <f>VLOOKUP(B306,Sheet1!C:D,2,0)</f>
        <v>购物-8653</v>
      </c>
    </row>
    <row r="307" spans="1:8" x14ac:dyDescent="0.25">
      <c r="A307" t="s">
        <v>1025</v>
      </c>
      <c r="B307" t="s">
        <v>1026</v>
      </c>
      <c r="C307" t="s">
        <v>9</v>
      </c>
      <c r="E307" t="s">
        <v>10</v>
      </c>
      <c r="F307" t="s">
        <v>11</v>
      </c>
      <c r="G307">
        <v>4775</v>
      </c>
      <c r="H307" t="str">
        <f>VLOOKUP(B307,Sheet1!C:D,2,0)</f>
        <v>购物-8656</v>
      </c>
    </row>
    <row r="308" spans="1:8" x14ac:dyDescent="0.25">
      <c r="A308" t="s">
        <v>1204</v>
      </c>
      <c r="B308" t="s">
        <v>1205</v>
      </c>
      <c r="C308" t="s">
        <v>9</v>
      </c>
      <c r="E308" t="s">
        <v>10</v>
      </c>
      <c r="F308" t="s">
        <v>11</v>
      </c>
      <c r="G308">
        <v>4875</v>
      </c>
      <c r="H308" t="str">
        <f>VLOOKUP(B308,Sheet1!C:D,2,0)</f>
        <v>购物-8826</v>
      </c>
    </row>
    <row r="309" spans="1:8" x14ac:dyDescent="0.25">
      <c r="A309" t="s">
        <v>1206</v>
      </c>
      <c r="B309" t="s">
        <v>1207</v>
      </c>
      <c r="C309" t="s">
        <v>9</v>
      </c>
      <c r="E309" t="s">
        <v>10</v>
      </c>
      <c r="F309" t="s">
        <v>11</v>
      </c>
      <c r="G309">
        <v>4817</v>
      </c>
      <c r="H309" t="str">
        <f>VLOOKUP(B309,Sheet1!C:D,2,0)</f>
        <v>购物-8829</v>
      </c>
    </row>
    <row r="310" spans="1:8" x14ac:dyDescent="0.25">
      <c r="A310" t="s">
        <v>1218</v>
      </c>
      <c r="B310" t="s">
        <v>1219</v>
      </c>
      <c r="C310" t="s">
        <v>9</v>
      </c>
      <c r="E310" t="s">
        <v>10</v>
      </c>
      <c r="F310" t="s">
        <v>11</v>
      </c>
      <c r="G310">
        <v>4111</v>
      </c>
      <c r="H310" t="str">
        <f>VLOOKUP(B310,Sheet1!C:D,2,0)</f>
        <v>购物-8841</v>
      </c>
    </row>
    <row r="311" spans="1:8" x14ac:dyDescent="0.25">
      <c r="A311" t="s">
        <v>1228</v>
      </c>
      <c r="B311" t="s">
        <v>1229</v>
      </c>
      <c r="C311" t="s">
        <v>9</v>
      </c>
      <c r="E311" t="s">
        <v>10</v>
      </c>
      <c r="F311" t="s">
        <v>11</v>
      </c>
      <c r="G311">
        <v>4904</v>
      </c>
      <c r="H311" t="str">
        <f>VLOOKUP(B311,Sheet1!C:D,2,0)</f>
        <v>购物-8849</v>
      </c>
    </row>
    <row r="312" spans="1:8" x14ac:dyDescent="0.25">
      <c r="A312" t="s">
        <v>1234</v>
      </c>
      <c r="B312" t="s">
        <v>1235</v>
      </c>
      <c r="C312" t="s">
        <v>9</v>
      </c>
      <c r="E312" t="s">
        <v>10</v>
      </c>
      <c r="F312" t="s">
        <v>11</v>
      </c>
      <c r="G312">
        <v>4908</v>
      </c>
      <c r="H312" t="str">
        <f>VLOOKUP(B312,Sheet1!C:D,2,0)</f>
        <v>购物-8852</v>
      </c>
    </row>
    <row r="313" spans="1:8" x14ac:dyDescent="0.25">
      <c r="A313" t="s">
        <v>1236</v>
      </c>
      <c r="B313" t="s">
        <v>1237</v>
      </c>
      <c r="C313" t="s">
        <v>9</v>
      </c>
      <c r="E313" t="s">
        <v>10</v>
      </c>
      <c r="F313" t="s">
        <v>11</v>
      </c>
      <c r="G313">
        <v>4832</v>
      </c>
      <c r="H313" t="str">
        <f>VLOOKUP(B313,Sheet1!C:D,2,0)</f>
        <v>购物-8855</v>
      </c>
    </row>
    <row r="314" spans="1:8" x14ac:dyDescent="0.25">
      <c r="A314" t="s">
        <v>1248</v>
      </c>
      <c r="B314" t="s">
        <v>1249</v>
      </c>
      <c r="C314" t="s">
        <v>9</v>
      </c>
      <c r="E314" t="s">
        <v>10</v>
      </c>
      <c r="F314" t="s">
        <v>11</v>
      </c>
      <c r="G314">
        <v>5070</v>
      </c>
      <c r="H314" t="str">
        <f>VLOOKUP(B314,Sheet1!C:D,2,0)</f>
        <v>购物-8887</v>
      </c>
    </row>
    <row r="315" spans="1:8" x14ac:dyDescent="0.25">
      <c r="A315" t="s">
        <v>267</v>
      </c>
      <c r="B315" t="s">
        <v>268</v>
      </c>
      <c r="C315" t="s">
        <v>9</v>
      </c>
      <c r="E315" t="s">
        <v>10</v>
      </c>
      <c r="F315" t="s">
        <v>11</v>
      </c>
      <c r="G315">
        <v>3869</v>
      </c>
      <c r="H315" t="str">
        <f>VLOOKUP(B315,Sheet1!C:D,2,0)</f>
        <v>古装剧场</v>
      </c>
    </row>
    <row r="316" spans="1:8" x14ac:dyDescent="0.25">
      <c r="A316" t="s">
        <v>116</v>
      </c>
      <c r="B316" t="s">
        <v>117</v>
      </c>
      <c r="C316" t="s">
        <v>9</v>
      </c>
      <c r="E316" t="s">
        <v>10</v>
      </c>
      <c r="F316" t="s">
        <v>11</v>
      </c>
      <c r="G316">
        <v>3896</v>
      </c>
      <c r="H316" t="str">
        <f>VLOOKUP(B316,Sheet1!C:D,2,0)</f>
        <v>广东卫视</v>
      </c>
    </row>
    <row r="317" spans="1:8" x14ac:dyDescent="0.25">
      <c r="A317" t="s">
        <v>170</v>
      </c>
      <c r="B317" t="s">
        <v>171</v>
      </c>
      <c r="C317" t="s">
        <v>9</v>
      </c>
      <c r="E317" t="s">
        <v>10</v>
      </c>
      <c r="F317" t="s">
        <v>11</v>
      </c>
      <c r="G317">
        <v>3917</v>
      </c>
      <c r="H317" t="str">
        <f>VLOOKUP(B317,Sheet1!C:D,2,0)</f>
        <v>广东卫视</v>
      </c>
    </row>
    <row r="318" spans="1:8" x14ac:dyDescent="0.25">
      <c r="A318" t="s">
        <v>196</v>
      </c>
      <c r="B318" t="s">
        <v>197</v>
      </c>
      <c r="C318" t="s">
        <v>9</v>
      </c>
      <c r="E318" t="s">
        <v>10</v>
      </c>
      <c r="F318" t="s">
        <v>11</v>
      </c>
      <c r="G318">
        <v>3929</v>
      </c>
      <c r="H318" t="str">
        <f>VLOOKUP(B318,Sheet1!C:D,2,0)</f>
        <v>广东卫视</v>
      </c>
    </row>
    <row r="319" spans="1:8" x14ac:dyDescent="0.25">
      <c r="A319" t="s">
        <v>208</v>
      </c>
      <c r="B319" t="s">
        <v>209</v>
      </c>
      <c r="C319" t="s">
        <v>9</v>
      </c>
      <c r="E319" t="s">
        <v>10</v>
      </c>
      <c r="F319" t="s">
        <v>11</v>
      </c>
      <c r="G319">
        <v>3895</v>
      </c>
      <c r="H319" t="str">
        <f>VLOOKUP(B319,Sheet1!C:D,2,0)</f>
        <v>广东卫视</v>
      </c>
    </row>
    <row r="320" spans="1:8" x14ac:dyDescent="0.25">
      <c r="A320" t="s">
        <v>323</v>
      </c>
      <c r="B320" t="s">
        <v>324</v>
      </c>
      <c r="C320" t="s">
        <v>9</v>
      </c>
      <c r="E320" t="s">
        <v>10</v>
      </c>
      <c r="F320" t="s">
        <v>11</v>
      </c>
      <c r="G320">
        <v>3935</v>
      </c>
      <c r="H320" t="str">
        <f>VLOOKUP(B320,Sheet1!C:D,2,0)</f>
        <v>广东卫视</v>
      </c>
    </row>
    <row r="321" spans="1:8" x14ac:dyDescent="0.25">
      <c r="A321" t="s">
        <v>413</v>
      </c>
      <c r="B321" t="s">
        <v>414</v>
      </c>
      <c r="C321" t="s">
        <v>9</v>
      </c>
      <c r="E321" t="s">
        <v>10</v>
      </c>
      <c r="F321" t="s">
        <v>11</v>
      </c>
      <c r="G321">
        <v>3888</v>
      </c>
      <c r="H321" t="str">
        <f>VLOOKUP(B321,Sheet1!C:D,2,0)</f>
        <v>广东卫视</v>
      </c>
    </row>
    <row r="322" spans="1:8" x14ac:dyDescent="0.25">
      <c r="A322" t="s">
        <v>435</v>
      </c>
      <c r="B322" t="s">
        <v>436</v>
      </c>
      <c r="C322" t="s">
        <v>9</v>
      </c>
      <c r="E322" t="s">
        <v>10</v>
      </c>
      <c r="F322" t="s">
        <v>11</v>
      </c>
      <c r="G322">
        <v>3901</v>
      </c>
      <c r="H322" t="str">
        <f>VLOOKUP(B322,Sheet1!C:D,2,0)</f>
        <v>广东卫视</v>
      </c>
    </row>
    <row r="323" spans="1:8" x14ac:dyDescent="0.25">
      <c r="A323" t="s">
        <v>699</v>
      </c>
      <c r="B323" t="s">
        <v>700</v>
      </c>
      <c r="C323" t="s">
        <v>9</v>
      </c>
      <c r="E323" t="s">
        <v>10</v>
      </c>
      <c r="F323" t="s">
        <v>11</v>
      </c>
      <c r="G323">
        <v>3930</v>
      </c>
      <c r="H323" t="str">
        <f>VLOOKUP(B323,Sheet1!C:D,2,0)</f>
        <v>广东卫视</v>
      </c>
    </row>
    <row r="324" spans="1:8" x14ac:dyDescent="0.25">
      <c r="A324" t="s">
        <v>739</v>
      </c>
      <c r="B324" t="s">
        <v>740</v>
      </c>
      <c r="C324" t="s">
        <v>9</v>
      </c>
      <c r="E324" t="s">
        <v>10</v>
      </c>
      <c r="F324" t="s">
        <v>11</v>
      </c>
      <c r="G324">
        <v>3878</v>
      </c>
      <c r="H324" t="str">
        <f>VLOOKUP(B324,Sheet1!C:D,2,0)</f>
        <v>广东卫视</v>
      </c>
    </row>
    <row r="325" spans="1:8" x14ac:dyDescent="0.25">
      <c r="A325" t="s">
        <v>889</v>
      </c>
      <c r="B325" t="s">
        <v>890</v>
      </c>
      <c r="C325" t="s">
        <v>9</v>
      </c>
      <c r="E325" t="s">
        <v>10</v>
      </c>
      <c r="F325" t="s">
        <v>11</v>
      </c>
      <c r="G325">
        <v>3660</v>
      </c>
      <c r="H325" t="str">
        <f>VLOOKUP(B325,Sheet1!C:D,2,0)</f>
        <v>广东卫视</v>
      </c>
    </row>
    <row r="326" spans="1:8" x14ac:dyDescent="0.25">
      <c r="A326" t="s">
        <v>44</v>
      </c>
      <c r="B326" t="s">
        <v>45</v>
      </c>
      <c r="C326" t="s">
        <v>9</v>
      </c>
      <c r="E326" t="s">
        <v>10</v>
      </c>
      <c r="F326" t="s">
        <v>11</v>
      </c>
      <c r="G326">
        <v>3851</v>
      </c>
      <c r="H326" t="str">
        <f>VLOOKUP(B326,Sheet1!C:D,2,0)</f>
        <v>广西卫视</v>
      </c>
    </row>
    <row r="327" spans="1:8" x14ac:dyDescent="0.25">
      <c r="A327" t="s">
        <v>663</v>
      </c>
      <c r="B327" t="s">
        <v>664</v>
      </c>
      <c r="C327" t="s">
        <v>9</v>
      </c>
      <c r="E327" t="s">
        <v>10</v>
      </c>
      <c r="F327" t="s">
        <v>11</v>
      </c>
      <c r="G327">
        <v>3935</v>
      </c>
      <c r="H327" t="str">
        <f>VLOOKUP(B327,Sheet1!C:D,2,0)</f>
        <v>广西卫视</v>
      </c>
    </row>
    <row r="328" spans="1:8" x14ac:dyDescent="0.25">
      <c r="A328" t="s">
        <v>285</v>
      </c>
      <c r="B328" t="s">
        <v>286</v>
      </c>
      <c r="C328" t="s">
        <v>9</v>
      </c>
      <c r="E328" t="s">
        <v>10</v>
      </c>
      <c r="F328" t="s">
        <v>11</v>
      </c>
      <c r="G328">
        <v>3887</v>
      </c>
      <c r="H328" t="str">
        <f>VLOOKUP(B328,Sheet1!C:D,2,0)</f>
        <v>贵州卫视</v>
      </c>
    </row>
    <row r="329" spans="1:8" x14ac:dyDescent="0.25">
      <c r="A329" t="s">
        <v>617</v>
      </c>
      <c r="B329" t="s">
        <v>618</v>
      </c>
      <c r="C329" t="s">
        <v>9</v>
      </c>
      <c r="E329" t="s">
        <v>10</v>
      </c>
      <c r="F329" t="s">
        <v>11</v>
      </c>
      <c r="G329">
        <v>3921</v>
      </c>
      <c r="H329" t="str">
        <f>VLOOKUP(B329,Sheet1!C:D,2,0)</f>
        <v>贵州卫视</v>
      </c>
    </row>
    <row r="330" spans="1:8" x14ac:dyDescent="0.25">
      <c r="A330" t="s">
        <v>989</v>
      </c>
      <c r="B330" t="s">
        <v>990</v>
      </c>
      <c r="C330" t="s">
        <v>9</v>
      </c>
      <c r="E330" t="s">
        <v>10</v>
      </c>
      <c r="F330" t="s">
        <v>11</v>
      </c>
      <c r="G330">
        <v>4836</v>
      </c>
      <c r="H330" t="str">
        <f>VLOOKUP(B330,Sheet1!C:D,2,0)</f>
        <v>贵州卫视</v>
      </c>
    </row>
    <row r="331" spans="1:8" x14ac:dyDescent="0.25">
      <c r="A331" t="s">
        <v>585</v>
      </c>
      <c r="B331" t="s">
        <v>586</v>
      </c>
      <c r="C331" t="s">
        <v>9</v>
      </c>
      <c r="E331" t="s">
        <v>10</v>
      </c>
      <c r="F331" t="s">
        <v>11</v>
      </c>
      <c r="G331">
        <v>3926</v>
      </c>
      <c r="H331" t="str">
        <f>VLOOKUP(B331,Sheet1!C:D,2,0)</f>
        <v>海南卫视</v>
      </c>
    </row>
    <row r="332" spans="1:8" x14ac:dyDescent="0.25">
      <c r="A332" t="s">
        <v>621</v>
      </c>
      <c r="B332" t="s">
        <v>622</v>
      </c>
      <c r="C332" t="s">
        <v>9</v>
      </c>
      <c r="E332" t="s">
        <v>10</v>
      </c>
      <c r="F332" t="s">
        <v>11</v>
      </c>
      <c r="G332">
        <v>3934</v>
      </c>
      <c r="H332" t="str">
        <f>VLOOKUP(B332,Sheet1!C:D,2,0)</f>
        <v>海南卫视</v>
      </c>
    </row>
    <row r="333" spans="1:8" x14ac:dyDescent="0.25">
      <c r="A333" t="s">
        <v>263</v>
      </c>
      <c r="B333" t="s">
        <v>264</v>
      </c>
      <c r="C333" t="s">
        <v>9</v>
      </c>
      <c r="E333" t="s">
        <v>10</v>
      </c>
      <c r="F333" t="s">
        <v>11</v>
      </c>
      <c r="G333">
        <v>3959</v>
      </c>
      <c r="H333" t="str">
        <f>VLOOKUP(B333,Sheet1!C:D,2,0)</f>
        <v>海外剧场</v>
      </c>
    </row>
    <row r="334" spans="1:8" x14ac:dyDescent="0.25">
      <c r="A334" t="s">
        <v>273</v>
      </c>
      <c r="B334" t="s">
        <v>274</v>
      </c>
      <c r="C334" t="s">
        <v>9</v>
      </c>
      <c r="E334" t="s">
        <v>10</v>
      </c>
      <c r="F334" t="s">
        <v>11</v>
      </c>
      <c r="G334">
        <v>3882</v>
      </c>
      <c r="H334" t="str">
        <f>VLOOKUP(B334,Sheet1!C:D,2,0)</f>
        <v>河北卫视</v>
      </c>
    </row>
    <row r="335" spans="1:8" x14ac:dyDescent="0.25">
      <c r="A335" t="s">
        <v>589</v>
      </c>
      <c r="B335" t="s">
        <v>590</v>
      </c>
      <c r="C335" t="s">
        <v>9</v>
      </c>
      <c r="E335" t="s">
        <v>10</v>
      </c>
      <c r="F335" t="s">
        <v>11</v>
      </c>
      <c r="G335">
        <v>3917</v>
      </c>
      <c r="H335" t="str">
        <f>VLOOKUP(B335,Sheet1!C:D,2,0)</f>
        <v>河北卫视</v>
      </c>
    </row>
    <row r="336" spans="1:8" x14ac:dyDescent="0.25">
      <c r="A336" t="s">
        <v>1154</v>
      </c>
      <c r="B336" t="s">
        <v>1155</v>
      </c>
      <c r="C336" t="s">
        <v>9</v>
      </c>
      <c r="E336" t="s">
        <v>10</v>
      </c>
      <c r="F336" t="s">
        <v>11</v>
      </c>
      <c r="G336">
        <v>4835</v>
      </c>
      <c r="H336" t="str">
        <f>VLOOKUP(B336,Sheet1!C:D,2,0)</f>
        <v>河北卫视</v>
      </c>
    </row>
    <row r="337" spans="1:8" x14ac:dyDescent="0.25">
      <c r="A337" t="s">
        <v>691</v>
      </c>
      <c r="B337" t="s">
        <v>692</v>
      </c>
      <c r="C337" t="s">
        <v>9</v>
      </c>
      <c r="E337" t="s">
        <v>10</v>
      </c>
      <c r="F337" t="s">
        <v>11</v>
      </c>
      <c r="G337">
        <v>3800</v>
      </c>
      <c r="H337" t="str">
        <f>VLOOKUP(B337,Sheet1!C:D,2,0)</f>
        <v>河南卫视</v>
      </c>
    </row>
    <row r="338" spans="1:8" x14ac:dyDescent="0.25">
      <c r="A338" t="s">
        <v>118</v>
      </c>
      <c r="B338" t="s">
        <v>119</v>
      </c>
      <c r="C338" t="s">
        <v>9</v>
      </c>
      <c r="E338" t="s">
        <v>10</v>
      </c>
      <c r="F338" t="s">
        <v>11</v>
      </c>
      <c r="G338">
        <v>3900</v>
      </c>
      <c r="H338" t="str">
        <f>VLOOKUP(B338,Sheet1!C:D,2,0)</f>
        <v>黑龙江卫视</v>
      </c>
    </row>
    <row r="339" spans="1:8" x14ac:dyDescent="0.25">
      <c r="A339" t="s">
        <v>144</v>
      </c>
      <c r="B339" t="s">
        <v>145</v>
      </c>
      <c r="C339" t="s">
        <v>9</v>
      </c>
      <c r="E339" t="s">
        <v>10</v>
      </c>
      <c r="F339" t="s">
        <v>11</v>
      </c>
      <c r="G339">
        <v>3920</v>
      </c>
      <c r="H339" t="str">
        <f>VLOOKUP(B339,Sheet1!C:D,2,0)</f>
        <v>黑龙江卫视</v>
      </c>
    </row>
    <row r="340" spans="1:8" x14ac:dyDescent="0.25">
      <c r="A340" t="s">
        <v>226</v>
      </c>
      <c r="B340" t="s">
        <v>227</v>
      </c>
      <c r="C340" t="s">
        <v>9</v>
      </c>
      <c r="E340" t="s">
        <v>10</v>
      </c>
      <c r="F340" t="s">
        <v>11</v>
      </c>
      <c r="G340">
        <v>3913</v>
      </c>
      <c r="H340" t="str">
        <f>VLOOKUP(B340,Sheet1!C:D,2,0)</f>
        <v>黑龙江卫视</v>
      </c>
    </row>
    <row r="341" spans="1:8" x14ac:dyDescent="0.25">
      <c r="A341" t="s">
        <v>245</v>
      </c>
      <c r="B341" t="s">
        <v>246</v>
      </c>
      <c r="C341" t="s">
        <v>9</v>
      </c>
      <c r="E341" t="s">
        <v>10</v>
      </c>
      <c r="F341" t="s">
        <v>11</v>
      </c>
      <c r="G341">
        <v>3841</v>
      </c>
      <c r="H341" t="str">
        <f>VLOOKUP(B341,Sheet1!C:D,2,0)</f>
        <v>黑龙江卫视</v>
      </c>
    </row>
    <row r="342" spans="1:8" x14ac:dyDescent="0.25">
      <c r="A342" t="s">
        <v>371</v>
      </c>
      <c r="B342" t="s">
        <v>372</v>
      </c>
      <c r="C342" t="s">
        <v>9</v>
      </c>
      <c r="E342" t="s">
        <v>10</v>
      </c>
      <c r="F342" t="s">
        <v>11</v>
      </c>
      <c r="G342">
        <v>3912</v>
      </c>
      <c r="H342" t="str">
        <f>VLOOKUP(B342,Sheet1!C:D,2,0)</f>
        <v>黑龙江卫视</v>
      </c>
    </row>
    <row r="343" spans="1:8" x14ac:dyDescent="0.25">
      <c r="A343" t="s">
        <v>399</v>
      </c>
      <c r="B343" t="s">
        <v>400</v>
      </c>
      <c r="C343" t="s">
        <v>9</v>
      </c>
      <c r="E343" t="s">
        <v>10</v>
      </c>
      <c r="F343" t="s">
        <v>11</v>
      </c>
      <c r="G343">
        <v>3912</v>
      </c>
      <c r="H343" t="str">
        <f>VLOOKUP(B343,Sheet1!C:D,2,0)</f>
        <v>黑龙江卫视</v>
      </c>
    </row>
    <row r="344" spans="1:8" x14ac:dyDescent="0.25">
      <c r="A344" t="s">
        <v>507</v>
      </c>
      <c r="B344" t="s">
        <v>508</v>
      </c>
      <c r="C344" t="s">
        <v>9</v>
      </c>
      <c r="E344" t="s">
        <v>10</v>
      </c>
      <c r="F344" t="s">
        <v>11</v>
      </c>
      <c r="G344">
        <v>3890</v>
      </c>
      <c r="H344" t="str">
        <f>VLOOKUP(B344,Sheet1!C:D,2,0)</f>
        <v>黑龙江卫视</v>
      </c>
    </row>
    <row r="345" spans="1:8" x14ac:dyDescent="0.25">
      <c r="A345" t="s">
        <v>703</v>
      </c>
      <c r="B345" t="s">
        <v>704</v>
      </c>
      <c r="C345" t="s">
        <v>9</v>
      </c>
      <c r="E345" t="s">
        <v>10</v>
      </c>
      <c r="F345" t="s">
        <v>11</v>
      </c>
      <c r="G345">
        <v>3938</v>
      </c>
      <c r="H345" t="str">
        <f>VLOOKUP(B345,Sheet1!C:D,2,0)</f>
        <v>黑龙江卫视</v>
      </c>
    </row>
    <row r="346" spans="1:8" x14ac:dyDescent="0.25">
      <c r="A346" t="s">
        <v>727</v>
      </c>
      <c r="B346" t="s">
        <v>728</v>
      </c>
      <c r="C346" t="s">
        <v>9</v>
      </c>
      <c r="E346" t="s">
        <v>10</v>
      </c>
      <c r="F346" t="s">
        <v>11</v>
      </c>
      <c r="G346">
        <v>3932</v>
      </c>
      <c r="H346" t="str">
        <f>VLOOKUP(B346,Sheet1!C:D,2,0)</f>
        <v>黑龙江卫视</v>
      </c>
    </row>
    <row r="347" spans="1:8" x14ac:dyDescent="0.25">
      <c r="A347" t="s">
        <v>32</v>
      </c>
      <c r="B347" t="s">
        <v>33</v>
      </c>
      <c r="C347" t="s">
        <v>9</v>
      </c>
      <c r="E347" t="s">
        <v>10</v>
      </c>
      <c r="F347" t="s">
        <v>11</v>
      </c>
      <c r="G347">
        <v>3955</v>
      </c>
      <c r="H347" t="str">
        <f>VLOOKUP(B347,Sheet1!C:D,2,0)</f>
        <v>黑莓电影</v>
      </c>
    </row>
    <row r="348" spans="1:8" x14ac:dyDescent="0.25">
      <c r="A348" t="s">
        <v>249</v>
      </c>
      <c r="B348" t="s">
        <v>250</v>
      </c>
      <c r="C348" t="s">
        <v>9</v>
      </c>
      <c r="E348" t="s">
        <v>10</v>
      </c>
      <c r="F348" t="s">
        <v>11</v>
      </c>
      <c r="G348">
        <v>3925</v>
      </c>
      <c r="H348" t="str">
        <f>VLOOKUP(B348,Sheet1!C:D,2,0)</f>
        <v>黑莓电影</v>
      </c>
    </row>
    <row r="349" spans="1:8" x14ac:dyDescent="0.25">
      <c r="A349" t="s">
        <v>26</v>
      </c>
      <c r="B349" t="s">
        <v>27</v>
      </c>
      <c r="C349" t="s">
        <v>9</v>
      </c>
      <c r="E349" t="s">
        <v>10</v>
      </c>
      <c r="F349" t="s">
        <v>11</v>
      </c>
      <c r="G349">
        <v>4080</v>
      </c>
      <c r="H349" t="str">
        <f>VLOOKUP(B349,Sheet1!C:D,2,0)</f>
        <v>黑莓动画</v>
      </c>
    </row>
    <row r="350" spans="1:8" x14ac:dyDescent="0.25">
      <c r="A350" t="s">
        <v>102</v>
      </c>
      <c r="B350" t="s">
        <v>103</v>
      </c>
      <c r="C350" t="s">
        <v>9</v>
      </c>
      <c r="E350" t="s">
        <v>10</v>
      </c>
      <c r="F350" t="s">
        <v>11</v>
      </c>
      <c r="G350">
        <v>3902</v>
      </c>
      <c r="H350" t="str">
        <f>VLOOKUP(B350,Sheet1!C:D,2,0)</f>
        <v>湖北卫视</v>
      </c>
    </row>
    <row r="351" spans="1:8" x14ac:dyDescent="0.25">
      <c r="A351" t="s">
        <v>150</v>
      </c>
      <c r="B351" t="s">
        <v>151</v>
      </c>
      <c r="C351" t="s">
        <v>9</v>
      </c>
      <c r="E351" t="s">
        <v>10</v>
      </c>
      <c r="F351" t="s">
        <v>11</v>
      </c>
      <c r="G351">
        <v>3993</v>
      </c>
      <c r="H351" t="str">
        <f>VLOOKUP(B351,Sheet1!C:D,2,0)</f>
        <v>湖北卫视</v>
      </c>
    </row>
    <row r="352" spans="1:8" x14ac:dyDescent="0.25">
      <c r="A352" t="s">
        <v>210</v>
      </c>
      <c r="B352" t="s">
        <v>211</v>
      </c>
      <c r="C352" t="s">
        <v>9</v>
      </c>
      <c r="E352" t="s">
        <v>10</v>
      </c>
      <c r="F352" t="s">
        <v>11</v>
      </c>
      <c r="G352">
        <v>3883</v>
      </c>
      <c r="H352" t="str">
        <f>VLOOKUP(B352,Sheet1!C:D,2,0)</f>
        <v>湖北卫视</v>
      </c>
    </row>
    <row r="353" spans="1:8" x14ac:dyDescent="0.25">
      <c r="A353" t="s">
        <v>228</v>
      </c>
      <c r="B353" t="s">
        <v>229</v>
      </c>
      <c r="C353" t="s">
        <v>9</v>
      </c>
      <c r="E353" t="s">
        <v>10</v>
      </c>
      <c r="F353" t="s">
        <v>11</v>
      </c>
      <c r="G353">
        <v>3918</v>
      </c>
      <c r="H353" t="str">
        <f>VLOOKUP(B353,Sheet1!C:D,2,0)</f>
        <v>湖北卫视</v>
      </c>
    </row>
    <row r="354" spans="1:8" x14ac:dyDescent="0.25">
      <c r="A354" t="s">
        <v>299</v>
      </c>
      <c r="B354" t="s">
        <v>300</v>
      </c>
      <c r="C354" t="s">
        <v>9</v>
      </c>
      <c r="E354" t="s">
        <v>10</v>
      </c>
      <c r="F354" t="s">
        <v>11</v>
      </c>
      <c r="G354">
        <v>3885</v>
      </c>
      <c r="H354" t="str">
        <f>VLOOKUP(B354,Sheet1!C:D,2,0)</f>
        <v>湖北卫视</v>
      </c>
    </row>
    <row r="355" spans="1:8" x14ac:dyDescent="0.25">
      <c r="A355" t="s">
        <v>403</v>
      </c>
      <c r="B355" t="s">
        <v>404</v>
      </c>
      <c r="C355" t="s">
        <v>9</v>
      </c>
      <c r="E355" t="s">
        <v>10</v>
      </c>
      <c r="F355" t="s">
        <v>11</v>
      </c>
      <c r="G355">
        <v>3893</v>
      </c>
      <c r="H355" t="str">
        <f>VLOOKUP(B355,Sheet1!C:D,2,0)</f>
        <v>湖北卫视</v>
      </c>
    </row>
    <row r="356" spans="1:8" x14ac:dyDescent="0.25">
      <c r="A356" t="s">
        <v>455</v>
      </c>
      <c r="B356" t="s">
        <v>456</v>
      </c>
      <c r="C356" t="s">
        <v>9</v>
      </c>
      <c r="E356" t="s">
        <v>10</v>
      </c>
      <c r="F356" t="s">
        <v>11</v>
      </c>
      <c r="G356">
        <v>3894</v>
      </c>
      <c r="H356" t="str">
        <f>VLOOKUP(B356,Sheet1!C:D,2,0)</f>
        <v>湖北卫视</v>
      </c>
    </row>
    <row r="357" spans="1:8" x14ac:dyDescent="0.25">
      <c r="A357" t="s">
        <v>641</v>
      </c>
      <c r="B357" t="s">
        <v>642</v>
      </c>
      <c r="C357" t="s">
        <v>9</v>
      </c>
      <c r="E357" t="s">
        <v>10</v>
      </c>
      <c r="F357" t="s">
        <v>11</v>
      </c>
      <c r="G357">
        <v>3931</v>
      </c>
      <c r="H357" t="str">
        <f>VLOOKUP(B357,Sheet1!C:D,2,0)</f>
        <v>湖北卫视</v>
      </c>
    </row>
    <row r="358" spans="1:8" x14ac:dyDescent="0.25">
      <c r="A358" t="s">
        <v>112</v>
      </c>
      <c r="B358" t="s">
        <v>113</v>
      </c>
      <c r="C358" t="s">
        <v>9</v>
      </c>
      <c r="E358" t="s">
        <v>10</v>
      </c>
      <c r="F358" t="s">
        <v>11</v>
      </c>
      <c r="G358">
        <v>4120</v>
      </c>
      <c r="H358" t="str">
        <f>VLOOKUP(B358,Sheet1!C:D,2,0)</f>
        <v>湖南卫视</v>
      </c>
    </row>
    <row r="359" spans="1:8" x14ac:dyDescent="0.25">
      <c r="A359" t="s">
        <v>142</v>
      </c>
      <c r="B359" t="s">
        <v>143</v>
      </c>
      <c r="C359" t="s">
        <v>9</v>
      </c>
      <c r="E359" t="s">
        <v>10</v>
      </c>
      <c r="F359" t="s">
        <v>11</v>
      </c>
      <c r="G359">
        <v>3886</v>
      </c>
      <c r="H359" t="str">
        <f>VLOOKUP(B359,Sheet1!C:D,2,0)</f>
        <v>湖南卫视</v>
      </c>
    </row>
    <row r="360" spans="1:8" x14ac:dyDescent="0.25">
      <c r="A360" t="s">
        <v>176</v>
      </c>
      <c r="B360" t="s">
        <v>177</v>
      </c>
      <c r="C360" t="s">
        <v>9</v>
      </c>
      <c r="E360" t="s">
        <v>10</v>
      </c>
      <c r="F360" t="s">
        <v>11</v>
      </c>
      <c r="G360">
        <v>3851</v>
      </c>
      <c r="H360" t="str">
        <f>VLOOKUP(B360,Sheet1!C:D,2,0)</f>
        <v>湖南卫视</v>
      </c>
    </row>
    <row r="361" spans="1:8" x14ac:dyDescent="0.25">
      <c r="A361" t="s">
        <v>214</v>
      </c>
      <c r="B361" t="s">
        <v>215</v>
      </c>
      <c r="C361" t="s">
        <v>9</v>
      </c>
      <c r="E361" t="s">
        <v>10</v>
      </c>
      <c r="F361" t="s">
        <v>11</v>
      </c>
      <c r="G361">
        <v>3934</v>
      </c>
      <c r="H361" t="str">
        <f>VLOOKUP(B361,Sheet1!C:D,2,0)</f>
        <v>湖南卫视</v>
      </c>
    </row>
    <row r="362" spans="1:8" x14ac:dyDescent="0.25">
      <c r="A362" t="s">
        <v>449</v>
      </c>
      <c r="B362" t="s">
        <v>450</v>
      </c>
      <c r="C362" t="s">
        <v>9</v>
      </c>
      <c r="E362" t="s">
        <v>10</v>
      </c>
      <c r="F362" t="s">
        <v>11</v>
      </c>
      <c r="G362">
        <v>3828</v>
      </c>
      <c r="H362" t="str">
        <f>VLOOKUP(B362,Sheet1!C:D,2,0)</f>
        <v>湖南卫视</v>
      </c>
    </row>
    <row r="363" spans="1:8" x14ac:dyDescent="0.25">
      <c r="A363" t="s">
        <v>493</v>
      </c>
      <c r="B363" t="s">
        <v>494</v>
      </c>
      <c r="C363" t="s">
        <v>9</v>
      </c>
      <c r="E363" t="s">
        <v>10</v>
      </c>
      <c r="F363" t="s">
        <v>11</v>
      </c>
      <c r="G363">
        <v>3939</v>
      </c>
      <c r="H363" t="str">
        <f>VLOOKUP(B363,Sheet1!C:D,2,0)</f>
        <v>湖南卫视</v>
      </c>
    </row>
    <row r="364" spans="1:8" x14ac:dyDescent="0.25">
      <c r="A364" t="s">
        <v>695</v>
      </c>
      <c r="B364" t="s">
        <v>696</v>
      </c>
      <c r="C364" t="s">
        <v>9</v>
      </c>
      <c r="E364" t="s">
        <v>10</v>
      </c>
      <c r="F364" t="s">
        <v>11</v>
      </c>
      <c r="G364">
        <v>3858</v>
      </c>
      <c r="H364" t="str">
        <f>VLOOKUP(B364,Sheet1!C:D,2,0)</f>
        <v>湖南卫视</v>
      </c>
    </row>
    <row r="365" spans="1:8" x14ac:dyDescent="0.25">
      <c r="A365" t="s">
        <v>765</v>
      </c>
      <c r="B365" t="s">
        <v>766</v>
      </c>
      <c r="C365" t="s">
        <v>9</v>
      </c>
      <c r="E365" t="s">
        <v>10</v>
      </c>
      <c r="F365" t="s">
        <v>11</v>
      </c>
      <c r="G365">
        <v>3904</v>
      </c>
      <c r="H365" t="str">
        <f>VLOOKUP(B365,Sheet1!C:D,2,0)</f>
        <v>湖南卫视</v>
      </c>
    </row>
    <row r="366" spans="1:8" x14ac:dyDescent="0.25">
      <c r="A366" t="s">
        <v>1216</v>
      </c>
      <c r="B366" t="s">
        <v>1217</v>
      </c>
      <c r="C366" t="s">
        <v>9</v>
      </c>
      <c r="E366" t="s">
        <v>10</v>
      </c>
      <c r="F366" t="s">
        <v>11</v>
      </c>
      <c r="G366">
        <v>3775</v>
      </c>
      <c r="H366" t="str">
        <f>VLOOKUP(B366,Sheet1!C:D,2,0)</f>
        <v>淮安公共</v>
      </c>
    </row>
    <row r="367" spans="1:8" x14ac:dyDescent="0.25">
      <c r="A367" t="s">
        <v>1210</v>
      </c>
      <c r="B367" t="s">
        <v>1211</v>
      </c>
      <c r="C367" t="s">
        <v>9</v>
      </c>
      <c r="E367" t="s">
        <v>10</v>
      </c>
      <c r="F367" t="s">
        <v>11</v>
      </c>
      <c r="G367">
        <v>4286</v>
      </c>
      <c r="H367" t="str">
        <f>VLOOKUP(B367,Sheet1!C:D,2,0)</f>
        <v>淮安影视</v>
      </c>
    </row>
    <row r="368" spans="1:8" x14ac:dyDescent="0.25">
      <c r="A368" t="s">
        <v>689</v>
      </c>
      <c r="B368" t="s">
        <v>690</v>
      </c>
      <c r="C368" t="s">
        <v>9</v>
      </c>
      <c r="E368" t="s">
        <v>10</v>
      </c>
      <c r="F368" t="s">
        <v>11</v>
      </c>
      <c r="G368">
        <v>3574</v>
      </c>
      <c r="H368" t="str">
        <f>VLOOKUP(B368,Sheet1!C:D,2,0)</f>
        <v>淮安综合</v>
      </c>
    </row>
    <row r="369" spans="1:8" x14ac:dyDescent="0.25">
      <c r="A369" t="s">
        <v>1208</v>
      </c>
      <c r="B369" t="s">
        <v>1209</v>
      </c>
      <c r="C369" t="s">
        <v>9</v>
      </c>
      <c r="E369" t="s">
        <v>10</v>
      </c>
      <c r="F369" t="s">
        <v>11</v>
      </c>
      <c r="G369">
        <v>4831</v>
      </c>
      <c r="H369" t="str">
        <f>VLOOKUP(B369,Sheet1!C:D,2,0)</f>
        <v>淮安综合</v>
      </c>
    </row>
    <row r="370" spans="1:8" x14ac:dyDescent="0.25">
      <c r="A370" t="s">
        <v>557</v>
      </c>
      <c r="B370" t="s">
        <v>558</v>
      </c>
      <c r="C370" t="s">
        <v>9</v>
      </c>
      <c r="E370" t="s">
        <v>10</v>
      </c>
      <c r="F370" t="s">
        <v>11</v>
      </c>
      <c r="G370">
        <v>3863</v>
      </c>
      <c r="H370" t="str">
        <f>VLOOKUP(B370,Sheet1!C:D,2,0)</f>
        <v>吉林卫视</v>
      </c>
    </row>
    <row r="371" spans="1:8" x14ac:dyDescent="0.25">
      <c r="A371" t="s">
        <v>611</v>
      </c>
      <c r="B371" t="s">
        <v>612</v>
      </c>
      <c r="C371" t="s">
        <v>9</v>
      </c>
      <c r="E371" t="s">
        <v>10</v>
      </c>
      <c r="F371" t="s">
        <v>11</v>
      </c>
      <c r="G371">
        <v>3897</v>
      </c>
      <c r="H371" t="str">
        <f>VLOOKUP(B371,Sheet1!C:D,2,0)</f>
        <v>吉林卫视</v>
      </c>
    </row>
    <row r="372" spans="1:8" x14ac:dyDescent="0.25">
      <c r="A372" t="s">
        <v>985</v>
      </c>
      <c r="B372" t="s">
        <v>986</v>
      </c>
      <c r="C372" t="s">
        <v>9</v>
      </c>
      <c r="E372" t="s">
        <v>10</v>
      </c>
      <c r="F372" t="s">
        <v>11</v>
      </c>
      <c r="G372">
        <v>4696</v>
      </c>
      <c r="H372" t="str">
        <f>VLOOKUP(B372,Sheet1!C:D,2,0)</f>
        <v>吉林卫视</v>
      </c>
    </row>
    <row r="373" spans="1:8" x14ac:dyDescent="0.25">
      <c r="A373" t="s">
        <v>2422</v>
      </c>
      <c r="B373" t="s">
        <v>2423</v>
      </c>
      <c r="C373" t="s">
        <v>9</v>
      </c>
      <c r="E373" t="s">
        <v>10</v>
      </c>
      <c r="F373" t="s">
        <v>11</v>
      </c>
      <c r="G373">
        <v>3299</v>
      </c>
      <c r="H373" t="str">
        <f>VLOOKUP(B373,Sheet1!C:D,2,0)</f>
        <v>记录-8559</v>
      </c>
    </row>
    <row r="374" spans="1:8" x14ac:dyDescent="0.25">
      <c r="A374" t="s">
        <v>885</v>
      </c>
      <c r="B374" t="s">
        <v>886</v>
      </c>
      <c r="C374" t="s">
        <v>9</v>
      </c>
      <c r="E374" t="s">
        <v>10</v>
      </c>
      <c r="F374" t="s">
        <v>11</v>
      </c>
      <c r="G374">
        <v>6038</v>
      </c>
      <c r="H374" t="str">
        <f>VLOOKUP(B374,Sheet1!C:D,2,0)</f>
        <v>记录-8562</v>
      </c>
    </row>
    <row r="375" spans="1:8" x14ac:dyDescent="0.25">
      <c r="A375" t="s">
        <v>1088</v>
      </c>
      <c r="B375" t="s">
        <v>1089</v>
      </c>
      <c r="C375" t="s">
        <v>9</v>
      </c>
      <c r="E375" t="s">
        <v>10</v>
      </c>
      <c r="F375" t="s">
        <v>11</v>
      </c>
      <c r="G375">
        <v>5301</v>
      </c>
      <c r="H375" t="str">
        <f>VLOOKUP(B375,Sheet1!C:D,2,0)</f>
        <v>记录-8700</v>
      </c>
    </row>
    <row r="376" spans="1:8" x14ac:dyDescent="0.25">
      <c r="A376" t="s">
        <v>1118</v>
      </c>
      <c r="B376" t="s">
        <v>1119</v>
      </c>
      <c r="C376" t="s">
        <v>9</v>
      </c>
      <c r="E376" t="s">
        <v>10</v>
      </c>
      <c r="F376" t="s">
        <v>11</v>
      </c>
      <c r="G376">
        <v>5047</v>
      </c>
      <c r="H376" t="str">
        <f>VLOOKUP(B376,Sheet1!C:D,2,0)</f>
        <v>记录-8723</v>
      </c>
    </row>
    <row r="377" spans="1:8" x14ac:dyDescent="0.25">
      <c r="A377" t="s">
        <v>451</v>
      </c>
      <c r="B377" t="s">
        <v>452</v>
      </c>
      <c r="C377" t="s">
        <v>9</v>
      </c>
      <c r="E377" t="s">
        <v>10</v>
      </c>
      <c r="F377" t="s">
        <v>11</v>
      </c>
      <c r="G377">
        <v>3918</v>
      </c>
      <c r="H377" t="str">
        <f>VLOOKUP(B377,Sheet1!C:D,2,0)</f>
        <v>纪实科教</v>
      </c>
    </row>
    <row r="378" spans="1:8" x14ac:dyDescent="0.25">
      <c r="A378" t="s">
        <v>1156</v>
      </c>
      <c r="B378" t="s">
        <v>1157</v>
      </c>
      <c r="C378" t="s">
        <v>9</v>
      </c>
      <c r="E378" t="s">
        <v>10</v>
      </c>
      <c r="F378" t="s">
        <v>11</v>
      </c>
      <c r="G378">
        <v>4806</v>
      </c>
      <c r="H378" t="str">
        <f>VLOOKUP(B378,Sheet1!C:D,2,0)</f>
        <v>纪实科教</v>
      </c>
    </row>
    <row r="379" spans="1:8" x14ac:dyDescent="0.25">
      <c r="A379" t="s">
        <v>331</v>
      </c>
      <c r="B379" t="s">
        <v>332</v>
      </c>
      <c r="C379" t="s">
        <v>9</v>
      </c>
      <c r="E379" t="s">
        <v>10</v>
      </c>
      <c r="F379" t="s">
        <v>11</v>
      </c>
      <c r="G379">
        <v>3935</v>
      </c>
      <c r="H379" t="str">
        <f>VLOOKUP(B379,Sheet1!C:D,2,0)</f>
        <v>家庭剧场</v>
      </c>
    </row>
    <row r="380" spans="1:8" x14ac:dyDescent="0.25">
      <c r="A380" t="s">
        <v>789</v>
      </c>
      <c r="B380" t="s">
        <v>790</v>
      </c>
      <c r="C380" t="s">
        <v>9</v>
      </c>
      <c r="E380" t="s">
        <v>10</v>
      </c>
      <c r="F380" t="s">
        <v>11</v>
      </c>
      <c r="G380">
        <v>3988</v>
      </c>
      <c r="H380" t="str">
        <f>VLOOKUP(B380,Sheet1!C:D,2,0)</f>
        <v>健身-8454</v>
      </c>
    </row>
    <row r="381" spans="1:8" x14ac:dyDescent="0.25">
      <c r="A381" t="s">
        <v>2429</v>
      </c>
      <c r="B381" t="s">
        <v>2430</v>
      </c>
      <c r="C381" t="s">
        <v>9</v>
      </c>
      <c r="E381" t="s">
        <v>10</v>
      </c>
      <c r="F381" t="s">
        <v>11</v>
      </c>
      <c r="G381">
        <v>5821</v>
      </c>
      <c r="H381" t="str">
        <f>VLOOKUP(B381,Sheet1!C:D,2,0)</f>
        <v>健身-8635</v>
      </c>
    </row>
    <row r="382" spans="1:8" x14ac:dyDescent="0.25">
      <c r="A382" t="s">
        <v>749</v>
      </c>
      <c r="B382" t="s">
        <v>750</v>
      </c>
      <c r="C382" t="s">
        <v>9</v>
      </c>
      <c r="E382" t="s">
        <v>10</v>
      </c>
      <c r="F382" t="s">
        <v>11</v>
      </c>
      <c r="G382">
        <v>3436</v>
      </c>
      <c r="H382" t="str">
        <f>VLOOKUP(B382,Sheet1!C:D,2,0)</f>
        <v>江都</v>
      </c>
    </row>
    <row r="383" spans="1:8" x14ac:dyDescent="0.25">
      <c r="A383" t="s">
        <v>541</v>
      </c>
      <c r="B383" t="s">
        <v>542</v>
      </c>
      <c r="C383" t="s">
        <v>9</v>
      </c>
      <c r="E383" t="s">
        <v>10</v>
      </c>
      <c r="F383" t="s">
        <v>11</v>
      </c>
      <c r="G383">
        <v>3952</v>
      </c>
      <c r="H383" t="str">
        <f>VLOOKUP(B383,Sheet1!C:D,2,0)</f>
        <v>江苏财经广播</v>
      </c>
    </row>
    <row r="384" spans="1:8" x14ac:dyDescent="0.25">
      <c r="A384" t="s">
        <v>56</v>
      </c>
      <c r="B384" t="s">
        <v>57</v>
      </c>
      <c r="C384" t="s">
        <v>9</v>
      </c>
      <c r="E384" t="s">
        <v>10</v>
      </c>
      <c r="F384" t="s">
        <v>11</v>
      </c>
      <c r="G384">
        <v>3906</v>
      </c>
      <c r="H384" t="str">
        <f>VLOOKUP(B384,Sheet1!C:D,2,0)</f>
        <v>江苏城市</v>
      </c>
    </row>
    <row r="385" spans="1:8" x14ac:dyDescent="0.25">
      <c r="A385" t="s">
        <v>1130</v>
      </c>
      <c r="B385" t="s">
        <v>1131</v>
      </c>
      <c r="C385" t="s">
        <v>9</v>
      </c>
      <c r="E385" t="s">
        <v>10</v>
      </c>
      <c r="F385" t="s">
        <v>11</v>
      </c>
      <c r="G385">
        <v>4815</v>
      </c>
      <c r="H385" t="str">
        <f>VLOOKUP(B385,Sheet1!C:D,2,0)</f>
        <v>江苏城市</v>
      </c>
    </row>
    <row r="386" spans="1:8" x14ac:dyDescent="0.25">
      <c r="A386" t="s">
        <v>553</v>
      </c>
      <c r="B386" t="s">
        <v>554</v>
      </c>
      <c r="C386" t="s">
        <v>9</v>
      </c>
      <c r="E386" t="s">
        <v>10</v>
      </c>
      <c r="F386" t="s">
        <v>11</v>
      </c>
      <c r="G386">
        <v>3949</v>
      </c>
      <c r="H386" t="str">
        <f>VLOOKUP(B386,Sheet1!C:D,2,0)</f>
        <v>江苏故事广播</v>
      </c>
    </row>
    <row r="387" spans="1:8" x14ac:dyDescent="0.25">
      <c r="A387" t="s">
        <v>545</v>
      </c>
      <c r="B387" t="s">
        <v>546</v>
      </c>
      <c r="C387" t="s">
        <v>9</v>
      </c>
      <c r="E387" t="s">
        <v>10</v>
      </c>
      <c r="F387" t="s">
        <v>11</v>
      </c>
      <c r="G387">
        <v>3961</v>
      </c>
      <c r="H387" t="str">
        <f>VLOOKUP(B387,Sheet1!C:D,2,0)</f>
        <v>江苏健康广播</v>
      </c>
    </row>
    <row r="388" spans="1:8" x14ac:dyDescent="0.25">
      <c r="A388" t="s">
        <v>535</v>
      </c>
      <c r="B388" t="s">
        <v>536</v>
      </c>
      <c r="C388" t="s">
        <v>9</v>
      </c>
      <c r="E388" t="s">
        <v>10</v>
      </c>
      <c r="F388" t="s">
        <v>11</v>
      </c>
      <c r="G388">
        <v>3968</v>
      </c>
      <c r="H388" t="str">
        <f>VLOOKUP(B388,Sheet1!C:D,2,0)</f>
        <v>江苏交通广播网</v>
      </c>
    </row>
    <row r="389" spans="1:8" x14ac:dyDescent="0.25">
      <c r="A389" t="s">
        <v>953</v>
      </c>
      <c r="B389" t="s">
        <v>954</v>
      </c>
      <c r="C389" t="s">
        <v>9</v>
      </c>
      <c r="E389" t="s">
        <v>10</v>
      </c>
      <c r="F389" t="s">
        <v>11</v>
      </c>
      <c r="G389">
        <v>5178</v>
      </c>
      <c r="H389" t="str">
        <f>VLOOKUP(B389,Sheet1!C:D,2,0)</f>
        <v>江苏教育</v>
      </c>
    </row>
    <row r="390" spans="1:8" x14ac:dyDescent="0.25">
      <c r="A390" t="s">
        <v>539</v>
      </c>
      <c r="B390" t="s">
        <v>540</v>
      </c>
      <c r="C390" t="s">
        <v>9</v>
      </c>
      <c r="E390" t="s">
        <v>10</v>
      </c>
      <c r="F390" t="s">
        <v>11</v>
      </c>
      <c r="G390">
        <v>3951</v>
      </c>
      <c r="H390" t="str">
        <f>VLOOKUP(B390,Sheet1!C:D,2,0)</f>
        <v>江苏经典流行音乐</v>
      </c>
    </row>
    <row r="391" spans="1:8" x14ac:dyDescent="0.25">
      <c r="A391" t="s">
        <v>60</v>
      </c>
      <c r="B391" t="s">
        <v>61</v>
      </c>
      <c r="C391" t="s">
        <v>9</v>
      </c>
      <c r="E391" t="s">
        <v>10</v>
      </c>
      <c r="F391" t="s">
        <v>11</v>
      </c>
      <c r="G391">
        <v>3973</v>
      </c>
      <c r="H391" t="str">
        <f>VLOOKUP(B391,Sheet1!C:D,2,0)</f>
        <v>江苏体育</v>
      </c>
    </row>
    <row r="392" spans="1:8" x14ac:dyDescent="0.25">
      <c r="A392" t="s">
        <v>1148</v>
      </c>
      <c r="B392" t="s">
        <v>1149</v>
      </c>
      <c r="C392" t="s">
        <v>9</v>
      </c>
      <c r="E392" t="s">
        <v>10</v>
      </c>
      <c r="F392" t="s">
        <v>11</v>
      </c>
      <c r="G392">
        <v>4902</v>
      </c>
      <c r="H392" t="str">
        <f>VLOOKUP(B392,Sheet1!C:D,2,0)</f>
        <v>江苏体育</v>
      </c>
    </row>
    <row r="393" spans="1:8" x14ac:dyDescent="0.25">
      <c r="A393" t="s">
        <v>120</v>
      </c>
      <c r="B393" t="s">
        <v>121</v>
      </c>
      <c r="C393" t="s">
        <v>9</v>
      </c>
      <c r="E393" t="s">
        <v>10</v>
      </c>
      <c r="F393" t="s">
        <v>11</v>
      </c>
      <c r="G393">
        <v>3870</v>
      </c>
      <c r="H393" t="str">
        <f>VLOOKUP(B393,Sheet1!C:D,2,0)</f>
        <v>江苏卫视</v>
      </c>
    </row>
    <row r="394" spans="1:8" x14ac:dyDescent="0.25">
      <c r="A394" t="s">
        <v>174</v>
      </c>
      <c r="B394" t="s">
        <v>175</v>
      </c>
      <c r="C394" t="s">
        <v>9</v>
      </c>
      <c r="E394" t="s">
        <v>10</v>
      </c>
      <c r="F394" t="s">
        <v>11</v>
      </c>
      <c r="G394">
        <v>4053</v>
      </c>
      <c r="H394" t="str">
        <f>VLOOKUP(B394,Sheet1!C:D,2,0)</f>
        <v>江苏卫视</v>
      </c>
    </row>
    <row r="395" spans="1:8" x14ac:dyDescent="0.25">
      <c r="A395" t="s">
        <v>192</v>
      </c>
      <c r="B395" t="s">
        <v>193</v>
      </c>
      <c r="C395" t="s">
        <v>9</v>
      </c>
      <c r="E395" t="s">
        <v>10</v>
      </c>
      <c r="F395" t="s">
        <v>11</v>
      </c>
      <c r="G395">
        <v>3936</v>
      </c>
      <c r="H395" t="str">
        <f>VLOOKUP(B395,Sheet1!C:D,2,0)</f>
        <v>江苏卫视</v>
      </c>
    </row>
    <row r="396" spans="1:8" x14ac:dyDescent="0.25">
      <c r="A396" t="s">
        <v>287</v>
      </c>
      <c r="B396" t="s">
        <v>288</v>
      </c>
      <c r="C396" t="s">
        <v>9</v>
      </c>
      <c r="E396" t="s">
        <v>10</v>
      </c>
      <c r="F396" t="s">
        <v>11</v>
      </c>
      <c r="G396">
        <v>3918</v>
      </c>
      <c r="H396" t="str">
        <f>VLOOKUP(B396,Sheet1!C:D,2,0)</f>
        <v>江苏卫视</v>
      </c>
    </row>
    <row r="397" spans="1:8" x14ac:dyDescent="0.25">
      <c r="A397" t="s">
        <v>315</v>
      </c>
      <c r="B397" t="s">
        <v>316</v>
      </c>
      <c r="C397" t="s">
        <v>9</v>
      </c>
      <c r="E397" t="s">
        <v>10</v>
      </c>
      <c r="F397" t="s">
        <v>11</v>
      </c>
      <c r="G397">
        <v>3979</v>
      </c>
      <c r="H397" t="str">
        <f>VLOOKUP(B397,Sheet1!C:D,2,0)</f>
        <v>江苏卫视</v>
      </c>
    </row>
    <row r="398" spans="1:8" x14ac:dyDescent="0.25">
      <c r="A398" t="s">
        <v>317</v>
      </c>
      <c r="B398" t="s">
        <v>318</v>
      </c>
      <c r="C398" t="s">
        <v>9</v>
      </c>
      <c r="E398" t="s">
        <v>10</v>
      </c>
      <c r="F398" t="s">
        <v>11</v>
      </c>
      <c r="G398">
        <v>3966</v>
      </c>
      <c r="H398" t="str">
        <f>VLOOKUP(B398,Sheet1!C:D,2,0)</f>
        <v>江苏卫视</v>
      </c>
    </row>
    <row r="399" spans="1:8" x14ac:dyDescent="0.25">
      <c r="A399" t="s">
        <v>407</v>
      </c>
      <c r="B399" t="s">
        <v>408</v>
      </c>
      <c r="C399" t="s">
        <v>9</v>
      </c>
      <c r="E399" t="s">
        <v>10</v>
      </c>
      <c r="F399" t="s">
        <v>11</v>
      </c>
      <c r="G399">
        <v>3876</v>
      </c>
      <c r="H399" t="str">
        <f>VLOOKUP(B399,Sheet1!C:D,2,0)</f>
        <v>江苏卫视</v>
      </c>
    </row>
    <row r="400" spans="1:8" x14ac:dyDescent="0.25">
      <c r="A400" t="s">
        <v>433</v>
      </c>
      <c r="B400" t="s">
        <v>434</v>
      </c>
      <c r="C400" t="s">
        <v>9</v>
      </c>
      <c r="E400" t="s">
        <v>10</v>
      </c>
      <c r="F400" t="s">
        <v>11</v>
      </c>
      <c r="G400">
        <v>3847</v>
      </c>
      <c r="H400" t="str">
        <f>VLOOKUP(B400,Sheet1!C:D,2,0)</f>
        <v>江苏卫视</v>
      </c>
    </row>
    <row r="401" spans="1:8" x14ac:dyDescent="0.25">
      <c r="A401" t="s">
        <v>459</v>
      </c>
      <c r="B401" t="s">
        <v>460</v>
      </c>
      <c r="C401" t="s">
        <v>9</v>
      </c>
      <c r="E401" t="s">
        <v>10</v>
      </c>
      <c r="F401" t="s">
        <v>11</v>
      </c>
      <c r="G401">
        <v>3969</v>
      </c>
      <c r="H401" t="str">
        <f>VLOOKUP(B401,Sheet1!C:D,2,0)</f>
        <v>江苏卫视</v>
      </c>
    </row>
    <row r="402" spans="1:8" x14ac:dyDescent="0.25">
      <c r="A402" t="s">
        <v>579</v>
      </c>
      <c r="B402" t="s">
        <v>580</v>
      </c>
      <c r="C402" t="s">
        <v>9</v>
      </c>
      <c r="E402" t="s">
        <v>10</v>
      </c>
      <c r="F402" t="s">
        <v>11</v>
      </c>
      <c r="G402">
        <v>3877</v>
      </c>
      <c r="H402" t="str">
        <f>VLOOKUP(B402,Sheet1!C:D,2,0)</f>
        <v>江苏卫视</v>
      </c>
    </row>
    <row r="403" spans="1:8" x14ac:dyDescent="0.25">
      <c r="A403" t="s">
        <v>581</v>
      </c>
      <c r="B403" t="s">
        <v>582</v>
      </c>
      <c r="C403" t="s">
        <v>9</v>
      </c>
      <c r="E403" t="s">
        <v>10</v>
      </c>
      <c r="F403" t="s">
        <v>11</v>
      </c>
      <c r="G403">
        <v>3952</v>
      </c>
      <c r="H403" t="str">
        <f>VLOOKUP(B403,Sheet1!C:D,2,0)</f>
        <v>江苏卫视</v>
      </c>
    </row>
    <row r="404" spans="1:8" x14ac:dyDescent="0.25">
      <c r="A404" t="s">
        <v>731</v>
      </c>
      <c r="B404" t="s">
        <v>732</v>
      </c>
      <c r="C404" t="s">
        <v>9</v>
      </c>
      <c r="E404" t="s">
        <v>10</v>
      </c>
      <c r="F404" t="s">
        <v>11</v>
      </c>
      <c r="G404">
        <v>3914</v>
      </c>
      <c r="H404" t="str">
        <f>VLOOKUP(B404,Sheet1!C:D,2,0)</f>
        <v>江苏卫视</v>
      </c>
    </row>
    <row r="405" spans="1:8" x14ac:dyDescent="0.25">
      <c r="A405" t="s">
        <v>1017</v>
      </c>
      <c r="B405" t="s">
        <v>1018</v>
      </c>
      <c r="C405" t="s">
        <v>9</v>
      </c>
      <c r="E405" t="s">
        <v>10</v>
      </c>
      <c r="F405" t="s">
        <v>11</v>
      </c>
      <c r="G405">
        <v>4776</v>
      </c>
      <c r="H405" t="str">
        <f>VLOOKUP(B405,Sheet1!C:D,2,0)</f>
        <v>江苏卫视</v>
      </c>
    </row>
    <row r="406" spans="1:8" x14ac:dyDescent="0.25">
      <c r="A406" t="s">
        <v>1023</v>
      </c>
      <c r="B406" t="s">
        <v>1024</v>
      </c>
      <c r="C406" t="s">
        <v>9</v>
      </c>
      <c r="E406" t="s">
        <v>10</v>
      </c>
      <c r="F406" t="s">
        <v>11</v>
      </c>
      <c r="G406">
        <v>4779</v>
      </c>
      <c r="H406" t="str">
        <f>VLOOKUP(B406,Sheet1!C:D,2,0)</f>
        <v>江苏卫视</v>
      </c>
    </row>
    <row r="407" spans="1:8" x14ac:dyDescent="0.25">
      <c r="A407" t="s">
        <v>1033</v>
      </c>
      <c r="B407" t="s">
        <v>1034</v>
      </c>
      <c r="C407" t="s">
        <v>9</v>
      </c>
      <c r="E407" t="s">
        <v>10</v>
      </c>
      <c r="F407" t="s">
        <v>11</v>
      </c>
      <c r="G407">
        <v>4825</v>
      </c>
      <c r="H407" t="str">
        <f>VLOOKUP(B407,Sheet1!C:D,2,0)</f>
        <v>江苏卫视</v>
      </c>
    </row>
    <row r="408" spans="1:8" x14ac:dyDescent="0.25">
      <c r="A408" t="s">
        <v>1164</v>
      </c>
      <c r="B408" t="s">
        <v>1165</v>
      </c>
      <c r="C408" t="s">
        <v>9</v>
      </c>
      <c r="E408" t="s">
        <v>10</v>
      </c>
      <c r="F408" t="s">
        <v>11</v>
      </c>
      <c r="G408">
        <v>4857</v>
      </c>
      <c r="H408" t="str">
        <f>VLOOKUP(B408,Sheet1!C:D,2,0)</f>
        <v>江苏卫视</v>
      </c>
    </row>
    <row r="409" spans="1:8" x14ac:dyDescent="0.25">
      <c r="A409" t="s">
        <v>1166</v>
      </c>
      <c r="B409" t="s">
        <v>1167</v>
      </c>
      <c r="C409" t="s">
        <v>9</v>
      </c>
      <c r="E409" t="s">
        <v>10</v>
      </c>
      <c r="F409" t="s">
        <v>11</v>
      </c>
      <c r="G409">
        <v>4813</v>
      </c>
      <c r="H409" t="str">
        <f>VLOOKUP(B409,Sheet1!C:D,2,0)</f>
        <v>江苏卫视</v>
      </c>
    </row>
    <row r="410" spans="1:8" x14ac:dyDescent="0.25">
      <c r="A410" t="s">
        <v>1168</v>
      </c>
      <c r="B410" t="s">
        <v>1169</v>
      </c>
      <c r="C410" t="s">
        <v>9</v>
      </c>
      <c r="E410" t="s">
        <v>10</v>
      </c>
      <c r="F410" t="s">
        <v>11</v>
      </c>
      <c r="G410">
        <v>4846</v>
      </c>
      <c r="H410" t="str">
        <f>VLOOKUP(B410,Sheet1!C:D,2,0)</f>
        <v>江苏卫视</v>
      </c>
    </row>
    <row r="411" spans="1:8" x14ac:dyDescent="0.25">
      <c r="A411" t="s">
        <v>551</v>
      </c>
      <c r="B411" t="s">
        <v>552</v>
      </c>
      <c r="C411" t="s">
        <v>9</v>
      </c>
      <c r="E411" t="s">
        <v>10</v>
      </c>
      <c r="F411" t="s">
        <v>11</v>
      </c>
      <c r="G411">
        <v>3959</v>
      </c>
      <c r="H411" t="str">
        <f>VLOOKUP(B411,Sheet1!C:D,2,0)</f>
        <v>江苏文艺广播</v>
      </c>
    </row>
    <row r="412" spans="1:8" x14ac:dyDescent="0.25">
      <c r="A412" t="s">
        <v>54</v>
      </c>
      <c r="B412" t="s">
        <v>55</v>
      </c>
      <c r="C412" t="s">
        <v>9</v>
      </c>
      <c r="E412" t="s">
        <v>10</v>
      </c>
      <c r="F412" t="s">
        <v>11</v>
      </c>
      <c r="G412">
        <v>3797</v>
      </c>
      <c r="H412" t="str">
        <f>VLOOKUP(B412,Sheet1!C:D,2,0)</f>
        <v>江苏新闻</v>
      </c>
    </row>
    <row r="413" spans="1:8" x14ac:dyDescent="0.25">
      <c r="A413" t="s">
        <v>1142</v>
      </c>
      <c r="B413" t="s">
        <v>1143</v>
      </c>
      <c r="C413" t="s">
        <v>9</v>
      </c>
      <c r="E413" t="s">
        <v>10</v>
      </c>
      <c r="F413" t="s">
        <v>11</v>
      </c>
      <c r="G413">
        <v>4861</v>
      </c>
      <c r="H413" t="str">
        <f>VLOOKUP(B413,Sheet1!C:D,2,0)</f>
        <v>江苏新闻</v>
      </c>
    </row>
    <row r="414" spans="1:8" x14ac:dyDescent="0.25">
      <c r="A414" t="s">
        <v>549</v>
      </c>
      <c r="B414" t="s">
        <v>550</v>
      </c>
      <c r="C414" t="s">
        <v>9</v>
      </c>
      <c r="E414" t="s">
        <v>10</v>
      </c>
      <c r="F414" t="s">
        <v>11</v>
      </c>
      <c r="G414">
        <v>3974</v>
      </c>
      <c r="H414" t="str">
        <f>VLOOKUP(B414,Sheet1!C:D,2,0)</f>
        <v>江苏新闻广播</v>
      </c>
    </row>
    <row r="415" spans="1:8" x14ac:dyDescent="0.25">
      <c r="A415" t="s">
        <v>533</v>
      </c>
      <c r="B415" t="s">
        <v>534</v>
      </c>
      <c r="C415" t="s">
        <v>9</v>
      </c>
      <c r="E415" t="s">
        <v>10</v>
      </c>
      <c r="F415" t="s">
        <v>11</v>
      </c>
      <c r="G415">
        <v>3927</v>
      </c>
      <c r="H415" t="str">
        <f>VLOOKUP(B415,Sheet1!C:D,2,0)</f>
        <v>江苏新闻综合广播</v>
      </c>
    </row>
    <row r="416" spans="1:8" x14ac:dyDescent="0.25">
      <c r="A416" t="s">
        <v>543</v>
      </c>
      <c r="B416" t="s">
        <v>544</v>
      </c>
      <c r="C416" t="s">
        <v>9</v>
      </c>
      <c r="E416" t="s">
        <v>10</v>
      </c>
      <c r="F416" t="s">
        <v>11</v>
      </c>
      <c r="G416">
        <v>3974</v>
      </c>
      <c r="H416" t="str">
        <f>VLOOKUP(B416,Sheet1!C:D,2,0)</f>
        <v>江苏音乐台</v>
      </c>
    </row>
    <row r="417" spans="1:8" x14ac:dyDescent="0.25">
      <c r="A417" t="s">
        <v>1124</v>
      </c>
      <c r="B417" t="s">
        <v>1125</v>
      </c>
      <c r="C417" t="s">
        <v>9</v>
      </c>
      <c r="E417" t="s">
        <v>10</v>
      </c>
      <c r="F417" t="s">
        <v>11</v>
      </c>
      <c r="G417">
        <v>5029</v>
      </c>
      <c r="H417" t="str">
        <f>VLOOKUP(B417,Sheet1!C:D,2,0)</f>
        <v>江苏影视</v>
      </c>
    </row>
    <row r="418" spans="1:8" x14ac:dyDescent="0.25">
      <c r="A418" t="s">
        <v>58</v>
      </c>
      <c r="B418" t="s">
        <v>59</v>
      </c>
      <c r="C418" t="s">
        <v>9</v>
      </c>
      <c r="E418" t="s">
        <v>10</v>
      </c>
      <c r="F418" t="s">
        <v>11</v>
      </c>
      <c r="G418">
        <v>3880</v>
      </c>
      <c r="H418" t="str">
        <f>VLOOKUP(B418,Sheet1!C:D,2,0)</f>
        <v>江苏综艺</v>
      </c>
    </row>
    <row r="419" spans="1:8" x14ac:dyDescent="0.25">
      <c r="A419" t="s">
        <v>1126</v>
      </c>
      <c r="B419" t="s">
        <v>1127</v>
      </c>
      <c r="C419" t="s">
        <v>9</v>
      </c>
      <c r="E419" t="s">
        <v>10</v>
      </c>
      <c r="F419" t="s">
        <v>11</v>
      </c>
      <c r="G419">
        <v>4922</v>
      </c>
      <c r="H419" t="str">
        <f>VLOOKUP(B419,Sheet1!C:D,2,0)</f>
        <v>江苏综艺</v>
      </c>
    </row>
    <row r="420" spans="1:8" x14ac:dyDescent="0.25">
      <c r="A420" t="s">
        <v>16</v>
      </c>
      <c r="B420" t="s">
        <v>17</v>
      </c>
      <c r="C420" t="s">
        <v>9</v>
      </c>
      <c r="E420" t="s">
        <v>10</v>
      </c>
      <c r="F420" t="s">
        <v>11</v>
      </c>
      <c r="G420">
        <v>3952</v>
      </c>
      <c r="H420" t="str">
        <f>VLOOKUP(B420,Sheet1!C:D,2,0)</f>
        <v>江西卫视</v>
      </c>
    </row>
    <row r="421" spans="1:8" x14ac:dyDescent="0.25">
      <c r="A421" t="s">
        <v>495</v>
      </c>
      <c r="B421" t="s">
        <v>496</v>
      </c>
      <c r="C421" t="s">
        <v>9</v>
      </c>
      <c r="E421" t="s">
        <v>10</v>
      </c>
      <c r="F421" t="s">
        <v>11</v>
      </c>
      <c r="G421">
        <v>3943</v>
      </c>
      <c r="H421" t="str">
        <f>VLOOKUP(B421,Sheet1!C:D,2,0)</f>
        <v>江西卫视</v>
      </c>
    </row>
    <row r="422" spans="1:8" x14ac:dyDescent="0.25">
      <c r="A422" t="s">
        <v>591</v>
      </c>
      <c r="B422" t="s">
        <v>592</v>
      </c>
      <c r="C422" t="s">
        <v>9</v>
      </c>
      <c r="E422" t="s">
        <v>10</v>
      </c>
      <c r="F422" t="s">
        <v>11</v>
      </c>
      <c r="G422">
        <v>3887</v>
      </c>
      <c r="H422" t="str">
        <f>VLOOKUP(B422,Sheet1!C:D,2,0)</f>
        <v>江西卫视</v>
      </c>
    </row>
    <row r="423" spans="1:8" x14ac:dyDescent="0.25">
      <c r="A423" t="s">
        <v>1150</v>
      </c>
      <c r="B423" t="s">
        <v>1151</v>
      </c>
      <c r="C423" t="s">
        <v>9</v>
      </c>
      <c r="E423" t="s">
        <v>10</v>
      </c>
      <c r="F423" t="s">
        <v>11</v>
      </c>
      <c r="G423">
        <v>4721</v>
      </c>
      <c r="H423" t="str">
        <f>VLOOKUP(B423,Sheet1!C:D,2,0)</f>
        <v>江西卫视</v>
      </c>
    </row>
    <row r="424" spans="1:8" x14ac:dyDescent="0.25">
      <c r="A424" t="s">
        <v>537</v>
      </c>
      <c r="B424" t="s">
        <v>538</v>
      </c>
      <c r="C424" t="s">
        <v>9</v>
      </c>
      <c r="E424" t="s">
        <v>10</v>
      </c>
      <c r="F424" t="s">
        <v>11</v>
      </c>
      <c r="G424">
        <v>3934</v>
      </c>
      <c r="H424" t="str">
        <f>VLOOKUP(B424,Sheet1!C:D,2,0)</f>
        <v>金陵之声</v>
      </c>
    </row>
    <row r="425" spans="1:8" x14ac:dyDescent="0.25">
      <c r="A425" t="s">
        <v>265</v>
      </c>
      <c r="B425" t="s">
        <v>266</v>
      </c>
      <c r="C425" t="s">
        <v>9</v>
      </c>
      <c r="E425" t="s">
        <v>10</v>
      </c>
      <c r="F425" t="s">
        <v>11</v>
      </c>
      <c r="G425">
        <v>4000</v>
      </c>
      <c r="H425" t="str">
        <f>VLOOKUP(B425,Sheet1!C:D,2,0)</f>
        <v>金牌综艺</v>
      </c>
    </row>
    <row r="426" spans="1:8" x14ac:dyDescent="0.25">
      <c r="A426" t="s">
        <v>1226</v>
      </c>
      <c r="B426" t="s">
        <v>1227</v>
      </c>
      <c r="C426" t="s">
        <v>9</v>
      </c>
      <c r="E426" t="s">
        <v>10</v>
      </c>
      <c r="F426" t="s">
        <v>11</v>
      </c>
      <c r="G426">
        <v>3473</v>
      </c>
      <c r="H426" t="str">
        <f>VLOOKUP(B426,Sheet1!C:D,2,0)</f>
        <v>金坛</v>
      </c>
    </row>
    <row r="427" spans="1:8" x14ac:dyDescent="0.25">
      <c r="A427" t="s">
        <v>257</v>
      </c>
      <c r="B427" t="s">
        <v>258</v>
      </c>
      <c r="C427" t="s">
        <v>9</v>
      </c>
      <c r="E427" t="s">
        <v>10</v>
      </c>
      <c r="F427" t="s">
        <v>11</v>
      </c>
      <c r="G427">
        <v>3969</v>
      </c>
      <c r="H427" t="str">
        <f>VLOOKUP(B427,Sheet1!C:D,2,0)</f>
        <v>惊悚悬疑</v>
      </c>
    </row>
    <row r="428" spans="1:8" x14ac:dyDescent="0.25">
      <c r="A428" t="s">
        <v>701</v>
      </c>
      <c r="B428" t="s">
        <v>702</v>
      </c>
      <c r="C428" t="s">
        <v>9</v>
      </c>
      <c r="E428" t="s">
        <v>10</v>
      </c>
      <c r="F428" t="s">
        <v>11</v>
      </c>
      <c r="G428">
        <v>3942</v>
      </c>
      <c r="H428" t="str">
        <f>VLOOKUP(B428,Sheet1!C:D,2,0)</f>
        <v>睛彩广场舞</v>
      </c>
    </row>
    <row r="429" spans="1:8" x14ac:dyDescent="0.25">
      <c r="A429" t="s">
        <v>1194</v>
      </c>
      <c r="B429" t="s">
        <v>1195</v>
      </c>
      <c r="C429" t="s">
        <v>9</v>
      </c>
      <c r="E429" t="s">
        <v>10</v>
      </c>
      <c r="F429" t="s">
        <v>11</v>
      </c>
      <c r="G429">
        <v>4886</v>
      </c>
      <c r="H429" t="str">
        <f>VLOOKUP(B429,Sheet1!C:D,2,0)</f>
        <v>睛彩广场舞</v>
      </c>
    </row>
    <row r="430" spans="1:8" x14ac:dyDescent="0.25">
      <c r="A430" t="s">
        <v>677</v>
      </c>
      <c r="B430" t="s">
        <v>678</v>
      </c>
      <c r="C430" t="s">
        <v>9</v>
      </c>
      <c r="E430" t="s">
        <v>10</v>
      </c>
      <c r="F430" t="s">
        <v>11</v>
      </c>
      <c r="G430">
        <v>3908</v>
      </c>
      <c r="H430" t="str">
        <f>VLOOKUP(B430,Sheet1!C:D,2,0)</f>
        <v>睛彩竞技</v>
      </c>
    </row>
    <row r="431" spans="1:8" x14ac:dyDescent="0.25">
      <c r="A431" t="s">
        <v>609</v>
      </c>
      <c r="B431" t="s">
        <v>610</v>
      </c>
      <c r="C431" t="s">
        <v>9</v>
      </c>
      <c r="E431" t="s">
        <v>10</v>
      </c>
      <c r="F431" t="s">
        <v>11</v>
      </c>
      <c r="G431">
        <v>3935</v>
      </c>
      <c r="H431" t="str">
        <f>VLOOKUP(B431,Sheet1!C:D,2,0)</f>
        <v>睛彩篮球</v>
      </c>
    </row>
    <row r="432" spans="1:8" x14ac:dyDescent="0.25">
      <c r="A432" t="s">
        <v>705</v>
      </c>
      <c r="B432" t="s">
        <v>706</v>
      </c>
      <c r="C432" t="s">
        <v>9</v>
      </c>
      <c r="E432" t="s">
        <v>10</v>
      </c>
      <c r="F432" t="s">
        <v>11</v>
      </c>
      <c r="G432">
        <v>3961</v>
      </c>
      <c r="H432" t="str">
        <f>VLOOKUP(B432,Sheet1!C:D,2,0)</f>
        <v>睛彩篮球</v>
      </c>
    </row>
    <row r="433" spans="1:8" x14ac:dyDescent="0.25">
      <c r="A433" t="s">
        <v>771</v>
      </c>
      <c r="B433" t="s">
        <v>772</v>
      </c>
      <c r="C433" t="s">
        <v>9</v>
      </c>
      <c r="E433" t="s">
        <v>10</v>
      </c>
      <c r="F433" t="s">
        <v>11</v>
      </c>
      <c r="G433">
        <v>3955</v>
      </c>
      <c r="H433" t="str">
        <f>VLOOKUP(B433,Sheet1!C:D,2,0)</f>
        <v>睛彩青少</v>
      </c>
    </row>
    <row r="434" spans="1:8" x14ac:dyDescent="0.25">
      <c r="A434" t="s">
        <v>1122</v>
      </c>
      <c r="B434" t="s">
        <v>1123</v>
      </c>
      <c r="C434" t="s">
        <v>9</v>
      </c>
      <c r="E434" t="s">
        <v>10</v>
      </c>
      <c r="F434" t="s">
        <v>11</v>
      </c>
      <c r="G434">
        <v>4746</v>
      </c>
      <c r="H434" t="str">
        <f>VLOOKUP(B434,Sheet1!C:D,2,0)</f>
        <v>睛彩青少</v>
      </c>
    </row>
    <row r="435" spans="1:8" x14ac:dyDescent="0.25">
      <c r="A435" t="s">
        <v>347</v>
      </c>
      <c r="B435" t="s">
        <v>348</v>
      </c>
      <c r="C435" t="s">
        <v>9</v>
      </c>
      <c r="E435" t="s">
        <v>10</v>
      </c>
      <c r="F435" t="s">
        <v>11</v>
      </c>
      <c r="G435">
        <v>3996</v>
      </c>
      <c r="H435" t="str">
        <f>VLOOKUP(B435,Sheet1!C:D,2,0)</f>
        <v>精品大剧</v>
      </c>
    </row>
    <row r="436" spans="1:8" x14ac:dyDescent="0.25">
      <c r="A436" t="s">
        <v>277</v>
      </c>
      <c r="B436" t="s">
        <v>278</v>
      </c>
      <c r="C436" t="s">
        <v>9</v>
      </c>
      <c r="E436" t="s">
        <v>10</v>
      </c>
      <c r="F436" t="s">
        <v>11</v>
      </c>
      <c r="G436">
        <v>3982</v>
      </c>
      <c r="H436" t="str">
        <f>VLOOKUP(B436,Sheet1!C:D,2,0)</f>
        <v>精品纪录</v>
      </c>
    </row>
    <row r="437" spans="1:8" x14ac:dyDescent="0.25">
      <c r="A437" t="s">
        <v>773</v>
      </c>
      <c r="B437" t="s">
        <v>774</v>
      </c>
      <c r="C437" t="s">
        <v>9</v>
      </c>
      <c r="E437" t="s">
        <v>10</v>
      </c>
      <c r="F437" t="s">
        <v>11</v>
      </c>
      <c r="G437">
        <v>3893</v>
      </c>
      <c r="H437" t="str">
        <f>VLOOKUP(B437,Sheet1!C:D,2,0)</f>
        <v>精品萌宠</v>
      </c>
    </row>
    <row r="438" spans="1:8" x14ac:dyDescent="0.25">
      <c r="A438" t="s">
        <v>343</v>
      </c>
      <c r="B438" t="s">
        <v>344</v>
      </c>
      <c r="C438" t="s">
        <v>9</v>
      </c>
      <c r="E438" t="s">
        <v>10</v>
      </c>
      <c r="F438" t="s">
        <v>11</v>
      </c>
      <c r="G438">
        <v>3883</v>
      </c>
      <c r="H438" t="str">
        <f>VLOOKUP(B438,Sheet1!C:D,2,0)</f>
        <v>精品体育</v>
      </c>
    </row>
    <row r="439" spans="1:8" x14ac:dyDescent="0.25">
      <c r="A439" t="s">
        <v>333</v>
      </c>
      <c r="B439" t="s">
        <v>334</v>
      </c>
      <c r="C439" t="s">
        <v>9</v>
      </c>
      <c r="E439" t="s">
        <v>10</v>
      </c>
      <c r="F439" t="s">
        <v>11</v>
      </c>
      <c r="G439">
        <v>3923</v>
      </c>
      <c r="H439" t="str">
        <f>VLOOKUP(B439,Sheet1!C:D,2,0)</f>
        <v>军旅剧场</v>
      </c>
    </row>
    <row r="440" spans="1:8" x14ac:dyDescent="0.25">
      <c r="A440" t="s">
        <v>271</v>
      </c>
      <c r="B440" t="s">
        <v>272</v>
      </c>
      <c r="C440" t="s">
        <v>9</v>
      </c>
      <c r="E440" t="s">
        <v>10</v>
      </c>
      <c r="F440" t="s">
        <v>11</v>
      </c>
      <c r="G440">
        <v>3862</v>
      </c>
      <c r="H440" t="str">
        <f>VLOOKUP(B440,Sheet1!C:D,2,0)</f>
        <v>军事评论</v>
      </c>
    </row>
    <row r="441" spans="1:8" x14ac:dyDescent="0.25">
      <c r="A441" t="s">
        <v>1198</v>
      </c>
      <c r="B441" t="s">
        <v>1199</v>
      </c>
      <c r="C441" t="s">
        <v>9</v>
      </c>
      <c r="E441" t="s">
        <v>10</v>
      </c>
      <c r="F441" t="s">
        <v>11</v>
      </c>
      <c r="G441">
        <v>3825</v>
      </c>
      <c r="H441" t="str">
        <f>VLOOKUP(B441,Sheet1!C:D,2,0)</f>
        <v>昆山新闻综合</v>
      </c>
    </row>
    <row r="442" spans="1:8" x14ac:dyDescent="0.25">
      <c r="A442" t="s">
        <v>523</v>
      </c>
      <c r="B442" t="s">
        <v>524</v>
      </c>
      <c r="C442" t="s">
        <v>9</v>
      </c>
      <c r="E442" t="s">
        <v>10</v>
      </c>
      <c r="F442" t="s">
        <v>11</v>
      </c>
      <c r="G442">
        <v>4001</v>
      </c>
      <c r="H442" t="str">
        <f>VLOOKUP(B442,Sheet1!C:D,2,0)</f>
        <v>连云港生活</v>
      </c>
    </row>
    <row r="443" spans="1:8" x14ac:dyDescent="0.25">
      <c r="A443" t="s">
        <v>515</v>
      </c>
      <c r="B443" t="s">
        <v>516</v>
      </c>
      <c r="C443" t="s">
        <v>9</v>
      </c>
      <c r="E443" t="s">
        <v>10</v>
      </c>
      <c r="F443" t="s">
        <v>11</v>
      </c>
      <c r="G443">
        <v>4038</v>
      </c>
      <c r="H443" t="str">
        <f>VLOOKUP(B443,Sheet1!C:D,2,0)</f>
        <v>连云港新闻综合</v>
      </c>
    </row>
    <row r="444" spans="1:8" x14ac:dyDescent="0.25">
      <c r="A444" t="s">
        <v>154</v>
      </c>
      <c r="B444" t="s">
        <v>155</v>
      </c>
      <c r="C444" t="s">
        <v>9</v>
      </c>
      <c r="E444" t="s">
        <v>10</v>
      </c>
      <c r="F444" t="s">
        <v>11</v>
      </c>
      <c r="G444">
        <v>3923</v>
      </c>
      <c r="H444" t="str">
        <f>VLOOKUP(B444,Sheet1!C:D,2,0)</f>
        <v>辽宁卫视</v>
      </c>
    </row>
    <row r="445" spans="1:8" x14ac:dyDescent="0.25">
      <c r="A445" t="s">
        <v>180</v>
      </c>
      <c r="B445" t="s">
        <v>181</v>
      </c>
      <c r="C445" t="s">
        <v>9</v>
      </c>
      <c r="E445" t="s">
        <v>10</v>
      </c>
      <c r="F445" t="s">
        <v>11</v>
      </c>
      <c r="G445">
        <v>3930</v>
      </c>
      <c r="H445" t="str">
        <f>VLOOKUP(B445,Sheet1!C:D,2,0)</f>
        <v>辽宁卫视</v>
      </c>
    </row>
    <row r="446" spans="1:8" x14ac:dyDescent="0.25">
      <c r="A446" t="s">
        <v>216</v>
      </c>
      <c r="B446" t="s">
        <v>217</v>
      </c>
      <c r="C446" t="s">
        <v>9</v>
      </c>
      <c r="E446" t="s">
        <v>10</v>
      </c>
      <c r="F446" t="s">
        <v>11</v>
      </c>
      <c r="G446">
        <v>3890</v>
      </c>
      <c r="H446" t="str">
        <f>VLOOKUP(B446,Sheet1!C:D,2,0)</f>
        <v>辽宁卫视</v>
      </c>
    </row>
    <row r="447" spans="1:8" x14ac:dyDescent="0.25">
      <c r="A447" t="s">
        <v>417</v>
      </c>
      <c r="B447" t="s">
        <v>418</v>
      </c>
      <c r="C447" t="s">
        <v>9</v>
      </c>
      <c r="E447" t="s">
        <v>10</v>
      </c>
      <c r="F447" t="s">
        <v>11</v>
      </c>
      <c r="G447">
        <v>3950</v>
      </c>
      <c r="H447" t="str">
        <f>VLOOKUP(B447,Sheet1!C:D,2,0)</f>
        <v>辽宁卫视</v>
      </c>
    </row>
    <row r="448" spans="1:8" x14ac:dyDescent="0.25">
      <c r="A448" t="s">
        <v>453</v>
      </c>
      <c r="B448" t="s">
        <v>454</v>
      </c>
      <c r="C448" t="s">
        <v>9</v>
      </c>
      <c r="E448" t="s">
        <v>10</v>
      </c>
      <c r="F448" t="s">
        <v>11</v>
      </c>
      <c r="G448">
        <v>3875</v>
      </c>
      <c r="H448" t="str">
        <f>VLOOKUP(B448,Sheet1!C:D,2,0)</f>
        <v>辽宁卫视</v>
      </c>
    </row>
    <row r="449" spans="1:8" x14ac:dyDescent="0.25">
      <c r="A449" t="s">
        <v>643</v>
      </c>
      <c r="B449" t="s">
        <v>644</v>
      </c>
      <c r="C449" t="s">
        <v>9</v>
      </c>
      <c r="E449" t="s">
        <v>10</v>
      </c>
      <c r="F449" t="s">
        <v>11</v>
      </c>
      <c r="G449">
        <v>3947</v>
      </c>
      <c r="H449" t="str">
        <f>VLOOKUP(B449,Sheet1!C:D,2,0)</f>
        <v>辽宁卫视</v>
      </c>
    </row>
    <row r="450" spans="1:8" x14ac:dyDescent="0.25">
      <c r="A450" t="s">
        <v>737</v>
      </c>
      <c r="B450" t="s">
        <v>738</v>
      </c>
      <c r="C450" t="s">
        <v>9</v>
      </c>
      <c r="E450" t="s">
        <v>10</v>
      </c>
      <c r="F450" t="s">
        <v>11</v>
      </c>
      <c r="G450">
        <v>3922</v>
      </c>
      <c r="H450" t="str">
        <f>VLOOKUP(B450,Sheet1!C:D,2,0)</f>
        <v>辽宁卫视</v>
      </c>
    </row>
    <row r="451" spans="1:8" x14ac:dyDescent="0.25">
      <c r="A451" t="s">
        <v>669</v>
      </c>
      <c r="B451" t="s">
        <v>670</v>
      </c>
      <c r="C451" t="s">
        <v>9</v>
      </c>
      <c r="E451" t="s">
        <v>10</v>
      </c>
      <c r="F451" t="s">
        <v>11</v>
      </c>
      <c r="G451">
        <v>3944</v>
      </c>
      <c r="H451" t="str">
        <f>VLOOKUP(B451,Sheet1!C:D,2,0)</f>
        <v>咪咕视频</v>
      </c>
    </row>
    <row r="452" spans="1:8" x14ac:dyDescent="0.25">
      <c r="A452" t="s">
        <v>1104</v>
      </c>
      <c r="B452" t="s">
        <v>1105</v>
      </c>
      <c r="C452" t="s">
        <v>9</v>
      </c>
      <c r="E452" t="s">
        <v>10</v>
      </c>
      <c r="F452" t="s">
        <v>11</v>
      </c>
      <c r="G452">
        <v>4846</v>
      </c>
      <c r="H452" t="str">
        <f>VLOOKUP(B452,Sheet1!C:D,2,0)</f>
        <v>咪咕体育</v>
      </c>
    </row>
    <row r="453" spans="1:8" x14ac:dyDescent="0.25">
      <c r="A453" t="s">
        <v>783</v>
      </c>
      <c r="B453" t="s">
        <v>784</v>
      </c>
      <c r="C453" t="s">
        <v>9</v>
      </c>
      <c r="E453" t="s">
        <v>10</v>
      </c>
      <c r="F453" t="s">
        <v>11</v>
      </c>
      <c r="G453">
        <v>3685</v>
      </c>
      <c r="H453" t="str">
        <f>VLOOKUP(B453,Sheet1!C:D,2,0)</f>
        <v>咪咕音乐-1</v>
      </c>
    </row>
    <row r="454" spans="1:8" x14ac:dyDescent="0.25">
      <c r="A454" t="s">
        <v>1180</v>
      </c>
      <c r="B454" t="s">
        <v>1181</v>
      </c>
      <c r="C454" t="s">
        <v>9</v>
      </c>
      <c r="E454" t="s">
        <v>10</v>
      </c>
      <c r="F454" t="s">
        <v>11</v>
      </c>
      <c r="G454">
        <v>4293</v>
      </c>
      <c r="H454" t="str">
        <f>VLOOKUP(B454,Sheet1!C:D,2,0)</f>
        <v>咪咕音乐-2</v>
      </c>
    </row>
    <row r="455" spans="1:8" x14ac:dyDescent="0.25">
      <c r="A455" t="s">
        <v>327</v>
      </c>
      <c r="B455" t="s">
        <v>328</v>
      </c>
      <c r="C455" t="s">
        <v>9</v>
      </c>
      <c r="E455" t="s">
        <v>10</v>
      </c>
      <c r="F455" t="s">
        <v>11</v>
      </c>
      <c r="G455">
        <v>3936</v>
      </c>
      <c r="H455" t="str">
        <f>VLOOKUP(B455,Sheet1!C:D,2,0)</f>
        <v>明星大片</v>
      </c>
    </row>
    <row r="456" spans="1:8" x14ac:dyDescent="0.25">
      <c r="A456" t="s">
        <v>1096</v>
      </c>
      <c r="B456" t="s">
        <v>1097</v>
      </c>
      <c r="C456" t="s">
        <v>9</v>
      </c>
      <c r="E456" t="s">
        <v>10</v>
      </c>
      <c r="F456" t="s">
        <v>11</v>
      </c>
      <c r="G456">
        <v>5092</v>
      </c>
      <c r="H456" t="str">
        <f>VLOOKUP(B456,Sheet1!C:D,2,0)</f>
        <v>南京夹江大桥直播</v>
      </c>
    </row>
    <row r="457" spans="1:8" x14ac:dyDescent="0.25">
      <c r="A457" t="s">
        <v>90</v>
      </c>
      <c r="B457" t="s">
        <v>91</v>
      </c>
      <c r="C457" t="s">
        <v>9</v>
      </c>
      <c r="E457" t="s">
        <v>10</v>
      </c>
      <c r="F457" t="s">
        <v>11</v>
      </c>
      <c r="G457">
        <v>3933</v>
      </c>
      <c r="H457" t="str">
        <f>VLOOKUP(B457,Sheet1!C:D,2,0)</f>
        <v>南京教科</v>
      </c>
    </row>
    <row r="458" spans="1:8" x14ac:dyDescent="0.25">
      <c r="A458" t="s">
        <v>491</v>
      </c>
      <c r="B458" t="s">
        <v>492</v>
      </c>
      <c r="C458" t="s">
        <v>9</v>
      </c>
      <c r="E458" t="s">
        <v>10</v>
      </c>
      <c r="F458" t="s">
        <v>11</v>
      </c>
      <c r="G458">
        <v>3675</v>
      </c>
      <c r="H458" t="str">
        <f>VLOOKUP(B458,Sheet1!C:D,2,0)</f>
        <v>南京少儿</v>
      </c>
    </row>
    <row r="459" spans="1:8" x14ac:dyDescent="0.25">
      <c r="A459" t="s">
        <v>88</v>
      </c>
      <c r="B459" t="s">
        <v>89</v>
      </c>
      <c r="C459" t="s">
        <v>9</v>
      </c>
      <c r="E459" t="s">
        <v>10</v>
      </c>
      <c r="F459" t="s">
        <v>11</v>
      </c>
      <c r="G459">
        <v>3854</v>
      </c>
      <c r="H459" t="str">
        <f>VLOOKUP(B459,Sheet1!C:D,2,0)</f>
        <v>南京十八</v>
      </c>
    </row>
    <row r="460" spans="1:8" x14ac:dyDescent="0.25">
      <c r="A460" t="s">
        <v>477</v>
      </c>
      <c r="B460" t="s">
        <v>478</v>
      </c>
      <c r="C460" t="s">
        <v>9</v>
      </c>
      <c r="E460" t="s">
        <v>10</v>
      </c>
      <c r="F460" t="s">
        <v>11</v>
      </c>
      <c r="G460">
        <v>3634</v>
      </c>
      <c r="H460" t="str">
        <f>VLOOKUP(B460,Sheet1!C:D,2,0)</f>
        <v>南京文旅记录</v>
      </c>
    </row>
    <row r="461" spans="1:8" x14ac:dyDescent="0.25">
      <c r="A461" t="s">
        <v>106</v>
      </c>
      <c r="B461" t="s">
        <v>107</v>
      </c>
      <c r="C461" t="s">
        <v>9</v>
      </c>
      <c r="E461" t="s">
        <v>10</v>
      </c>
      <c r="F461" t="s">
        <v>11</v>
      </c>
      <c r="G461">
        <v>3888</v>
      </c>
      <c r="H461" t="str">
        <f>VLOOKUP(B461,Sheet1!C:D,2,0)</f>
        <v>南京新闻综合</v>
      </c>
    </row>
    <row r="462" spans="1:8" x14ac:dyDescent="0.25">
      <c r="A462" t="s">
        <v>473</v>
      </c>
      <c r="B462" t="s">
        <v>474</v>
      </c>
      <c r="C462" t="s">
        <v>9</v>
      </c>
      <c r="E462" t="s">
        <v>10</v>
      </c>
      <c r="F462" t="s">
        <v>11</v>
      </c>
      <c r="G462">
        <v>3659</v>
      </c>
      <c r="H462" t="str">
        <f>VLOOKUP(B462,Sheet1!C:D,2,0)</f>
        <v>南京影视</v>
      </c>
    </row>
    <row r="463" spans="1:8" x14ac:dyDescent="0.25">
      <c r="A463" t="s">
        <v>949</v>
      </c>
      <c r="B463" t="s">
        <v>950</v>
      </c>
      <c r="C463" t="s">
        <v>9</v>
      </c>
      <c r="E463" t="s">
        <v>10</v>
      </c>
      <c r="F463" t="s">
        <v>11</v>
      </c>
      <c r="G463">
        <v>4904</v>
      </c>
      <c r="H463" t="str">
        <f>VLOOKUP(B463,Sheet1!C:D,2,0)</f>
        <v>南京长江大桥直播</v>
      </c>
    </row>
    <row r="464" spans="1:8" x14ac:dyDescent="0.25">
      <c r="A464" t="s">
        <v>785</v>
      </c>
      <c r="B464" t="s">
        <v>786</v>
      </c>
      <c r="C464" t="s">
        <v>9</v>
      </c>
      <c r="E464" t="s">
        <v>10</v>
      </c>
      <c r="F464" t="s">
        <v>11</v>
      </c>
      <c r="G464">
        <v>3953</v>
      </c>
      <c r="H464" t="str">
        <f>VLOOKUP(B464,Sheet1!C:D,2,0)</f>
        <v>南通-2</v>
      </c>
    </row>
    <row r="465" spans="1:8" x14ac:dyDescent="0.25">
      <c r="A465" t="s">
        <v>795</v>
      </c>
      <c r="B465" t="s">
        <v>796</v>
      </c>
      <c r="C465" t="s">
        <v>9</v>
      </c>
      <c r="E465" t="s">
        <v>10</v>
      </c>
      <c r="F465" t="s">
        <v>11</v>
      </c>
      <c r="G465">
        <v>4034</v>
      </c>
      <c r="H465" t="str">
        <f>VLOOKUP(B465,Sheet1!C:D,2,0)</f>
        <v>南通新闻综合</v>
      </c>
    </row>
    <row r="466" spans="1:8" x14ac:dyDescent="0.25">
      <c r="A466" t="s">
        <v>46</v>
      </c>
      <c r="B466" t="s">
        <v>47</v>
      </c>
      <c r="C466" t="s">
        <v>9</v>
      </c>
      <c r="E466" t="s">
        <v>10</v>
      </c>
      <c r="F466" t="s">
        <v>11</v>
      </c>
      <c r="G466">
        <v>3877</v>
      </c>
      <c r="H466" t="str">
        <f>VLOOKUP(B466,Sheet1!C:D,2,0)</f>
        <v>内蒙古卫视</v>
      </c>
    </row>
    <row r="467" spans="1:8" x14ac:dyDescent="0.25">
      <c r="A467" t="s">
        <v>48</v>
      </c>
      <c r="B467" t="s">
        <v>49</v>
      </c>
      <c r="C467" t="s">
        <v>9</v>
      </c>
      <c r="E467" t="s">
        <v>10</v>
      </c>
      <c r="F467" t="s">
        <v>11</v>
      </c>
      <c r="G467">
        <v>3927</v>
      </c>
      <c r="H467" t="str">
        <f>VLOOKUP(B467,Sheet1!C:D,2,0)</f>
        <v>宁夏卫视</v>
      </c>
    </row>
    <row r="468" spans="1:8" x14ac:dyDescent="0.25">
      <c r="A468" t="s">
        <v>319</v>
      </c>
      <c r="B468" t="s">
        <v>320</v>
      </c>
      <c r="C468" t="s">
        <v>9</v>
      </c>
      <c r="E468" t="s">
        <v>10</v>
      </c>
      <c r="F468" t="s">
        <v>11</v>
      </c>
      <c r="G468">
        <v>3965</v>
      </c>
      <c r="H468" t="str">
        <f>VLOOKUP(B468,Sheet1!C:D,2,0)</f>
        <v>农业致富</v>
      </c>
    </row>
    <row r="469" spans="1:8" x14ac:dyDescent="0.25">
      <c r="A469" t="s">
        <v>1110</v>
      </c>
      <c r="B469" t="s">
        <v>1111</v>
      </c>
      <c r="C469" t="s">
        <v>9</v>
      </c>
      <c r="E469" t="s">
        <v>10</v>
      </c>
      <c r="F469" t="s">
        <v>11</v>
      </c>
      <c r="G469">
        <v>4821</v>
      </c>
      <c r="H469" t="str">
        <f>VLOOKUP(B469,Sheet1!C:D,2,0)</f>
        <v>农业致富-8720</v>
      </c>
    </row>
    <row r="470" spans="1:8" x14ac:dyDescent="0.25">
      <c r="A470" t="s">
        <v>337</v>
      </c>
      <c r="B470" t="s">
        <v>338</v>
      </c>
      <c r="C470" t="s">
        <v>9</v>
      </c>
      <c r="E470" t="s">
        <v>10</v>
      </c>
      <c r="F470" t="s">
        <v>11</v>
      </c>
      <c r="G470">
        <v>3621</v>
      </c>
      <c r="H470" t="str">
        <f>VLOOKUP(B470,Sheet1!C:D,2,0)</f>
        <v>沛县经济</v>
      </c>
    </row>
    <row r="471" spans="1:8" x14ac:dyDescent="0.25">
      <c r="A471" t="s">
        <v>423</v>
      </c>
      <c r="B471" t="s">
        <v>424</v>
      </c>
      <c r="C471" t="s">
        <v>9</v>
      </c>
      <c r="E471" t="s">
        <v>10</v>
      </c>
      <c r="F471" t="s">
        <v>11</v>
      </c>
      <c r="G471">
        <v>3592</v>
      </c>
      <c r="H471" t="str">
        <f>VLOOKUP(B471,Sheet1!C:D,2,0)</f>
        <v>沛县文艺</v>
      </c>
    </row>
    <row r="472" spans="1:8" x14ac:dyDescent="0.25">
      <c r="A472" t="s">
        <v>421</v>
      </c>
      <c r="B472" t="s">
        <v>422</v>
      </c>
      <c r="C472" t="s">
        <v>9</v>
      </c>
      <c r="E472" t="s">
        <v>10</v>
      </c>
      <c r="F472" t="s">
        <v>11</v>
      </c>
      <c r="G472">
        <v>3605</v>
      </c>
      <c r="H472" t="str">
        <f>VLOOKUP(B472,Sheet1!C:D,2,0)</f>
        <v>沛县新闻</v>
      </c>
    </row>
    <row r="473" spans="1:8" x14ac:dyDescent="0.25">
      <c r="A473" t="s">
        <v>307</v>
      </c>
      <c r="B473" t="s">
        <v>308</v>
      </c>
      <c r="C473" t="s">
        <v>9</v>
      </c>
      <c r="E473" t="s">
        <v>10</v>
      </c>
      <c r="F473" t="s">
        <v>11</v>
      </c>
      <c r="G473">
        <v>4070</v>
      </c>
      <c r="H473" t="str">
        <f>VLOOKUP(B473,Sheet1!C:D,2,0)</f>
        <v>邳州综合</v>
      </c>
    </row>
    <row r="474" spans="1:8" x14ac:dyDescent="0.25">
      <c r="A474" t="s">
        <v>909</v>
      </c>
      <c r="B474" t="s">
        <v>910</v>
      </c>
      <c r="C474" t="s">
        <v>9</v>
      </c>
      <c r="E474" t="s">
        <v>10</v>
      </c>
      <c r="F474" t="s">
        <v>11</v>
      </c>
      <c r="G474">
        <v>4678</v>
      </c>
      <c r="H474" t="str">
        <f>VLOOKUP(B474,Sheet1!C:D,2,0)</f>
        <v>棋牌-8586</v>
      </c>
    </row>
    <row r="475" spans="1:8" x14ac:dyDescent="0.25">
      <c r="A475" t="s">
        <v>1186</v>
      </c>
      <c r="B475" t="s">
        <v>1187</v>
      </c>
      <c r="C475" t="s">
        <v>9</v>
      </c>
      <c r="E475" t="s">
        <v>10</v>
      </c>
      <c r="F475" t="s">
        <v>11</v>
      </c>
      <c r="G475">
        <v>4923</v>
      </c>
      <c r="H475" t="str">
        <f>VLOOKUP(B475,Sheet1!C:D,2,0)</f>
        <v>棋牌-8808</v>
      </c>
    </row>
    <row r="476" spans="1:8" x14ac:dyDescent="0.25">
      <c r="A476" t="s">
        <v>40</v>
      </c>
      <c r="B476" t="s">
        <v>41</v>
      </c>
      <c r="C476" t="s">
        <v>9</v>
      </c>
      <c r="E476" t="s">
        <v>10</v>
      </c>
      <c r="F476" t="s">
        <v>11</v>
      </c>
      <c r="G476">
        <v>3618</v>
      </c>
      <c r="H476" t="str">
        <f>VLOOKUP(B476,Sheet1!C:D,2,0)</f>
        <v>青海卫视</v>
      </c>
    </row>
    <row r="477" spans="1:8" x14ac:dyDescent="0.25">
      <c r="A477" t="s">
        <v>291</v>
      </c>
      <c r="B477" t="s">
        <v>292</v>
      </c>
      <c r="C477" t="s">
        <v>9</v>
      </c>
      <c r="E477" t="s">
        <v>10</v>
      </c>
      <c r="F477" t="s">
        <v>11</v>
      </c>
      <c r="G477">
        <v>3945</v>
      </c>
      <c r="H477" t="str">
        <f>VLOOKUP(B477,Sheet1!C:D,2,0)</f>
        <v>青海卫视</v>
      </c>
    </row>
    <row r="478" spans="1:8" x14ac:dyDescent="0.25">
      <c r="A478" t="s">
        <v>243</v>
      </c>
      <c r="B478" t="s">
        <v>244</v>
      </c>
      <c r="C478" t="s">
        <v>9</v>
      </c>
      <c r="E478" t="s">
        <v>10</v>
      </c>
      <c r="F478" t="s">
        <v>11</v>
      </c>
      <c r="G478">
        <v>3787</v>
      </c>
      <c r="H478" t="str">
        <f>VLOOKUP(B478,Sheet1!C:D,2,0)</f>
        <v>热播精选</v>
      </c>
    </row>
    <row r="479" spans="1:8" x14ac:dyDescent="0.25">
      <c r="A479" t="s">
        <v>977</v>
      </c>
      <c r="B479" t="s">
        <v>978</v>
      </c>
      <c r="C479" t="s">
        <v>9</v>
      </c>
      <c r="E479" t="s">
        <v>10</v>
      </c>
      <c r="F479" t="s">
        <v>11</v>
      </c>
      <c r="G479">
        <v>4732</v>
      </c>
      <c r="H479" t="str">
        <f>VLOOKUP(B479,Sheet1!C:D,2,0)</f>
        <v>三沙卫视</v>
      </c>
    </row>
    <row r="480" spans="1:8" x14ac:dyDescent="0.25">
      <c r="A480" t="s">
        <v>80</v>
      </c>
      <c r="B480" t="s">
        <v>81</v>
      </c>
      <c r="C480" t="s">
        <v>9</v>
      </c>
      <c r="E480" t="s">
        <v>10</v>
      </c>
      <c r="F480" t="s">
        <v>11</v>
      </c>
      <c r="G480">
        <v>3999</v>
      </c>
      <c r="H480" t="str">
        <f>VLOOKUP(B480,Sheet1!C:D,2,0)</f>
        <v>厦门卫视</v>
      </c>
    </row>
    <row r="481" spans="1:8" x14ac:dyDescent="0.25">
      <c r="A481" t="s">
        <v>122</v>
      </c>
      <c r="B481" t="s">
        <v>123</v>
      </c>
      <c r="C481" t="s">
        <v>9</v>
      </c>
      <c r="E481" t="s">
        <v>10</v>
      </c>
      <c r="F481" t="s">
        <v>11</v>
      </c>
      <c r="G481">
        <v>3962</v>
      </c>
      <c r="H481" t="str">
        <f>VLOOKUP(B481,Sheet1!C:D,2,0)</f>
        <v>山东卫视</v>
      </c>
    </row>
    <row r="482" spans="1:8" x14ac:dyDescent="0.25">
      <c r="A482" t="s">
        <v>136</v>
      </c>
      <c r="B482" t="s">
        <v>137</v>
      </c>
      <c r="C482" t="s">
        <v>9</v>
      </c>
      <c r="E482" t="s">
        <v>10</v>
      </c>
      <c r="F482" t="s">
        <v>11</v>
      </c>
      <c r="G482">
        <v>3931</v>
      </c>
      <c r="H482" t="str">
        <f>VLOOKUP(B482,Sheet1!C:D,2,0)</f>
        <v>山东卫视</v>
      </c>
    </row>
    <row r="483" spans="1:8" x14ac:dyDescent="0.25">
      <c r="A483" t="s">
        <v>198</v>
      </c>
      <c r="B483" t="s">
        <v>199</v>
      </c>
      <c r="C483" t="s">
        <v>9</v>
      </c>
      <c r="E483" t="s">
        <v>10</v>
      </c>
      <c r="F483" t="s">
        <v>11</v>
      </c>
      <c r="G483">
        <v>3898</v>
      </c>
      <c r="H483" t="str">
        <f>VLOOKUP(B483,Sheet1!C:D,2,0)</f>
        <v>山东卫视</v>
      </c>
    </row>
    <row r="484" spans="1:8" x14ac:dyDescent="0.25">
      <c r="A484" t="s">
        <v>247</v>
      </c>
      <c r="B484" t="s">
        <v>248</v>
      </c>
      <c r="C484" t="s">
        <v>9</v>
      </c>
      <c r="E484" t="s">
        <v>10</v>
      </c>
      <c r="F484" t="s">
        <v>11</v>
      </c>
      <c r="G484">
        <v>3872</v>
      </c>
      <c r="H484" t="str">
        <f>VLOOKUP(B484,Sheet1!C:D,2,0)</f>
        <v>山东卫视</v>
      </c>
    </row>
    <row r="485" spans="1:8" x14ac:dyDescent="0.25">
      <c r="A485" t="s">
        <v>351</v>
      </c>
      <c r="B485" t="s">
        <v>352</v>
      </c>
      <c r="C485" t="s">
        <v>9</v>
      </c>
      <c r="E485" t="s">
        <v>10</v>
      </c>
      <c r="F485" t="s">
        <v>11</v>
      </c>
      <c r="G485">
        <v>3995</v>
      </c>
      <c r="H485" t="str">
        <f>VLOOKUP(B485,Sheet1!C:D,2,0)</f>
        <v>山东卫视</v>
      </c>
    </row>
    <row r="486" spans="1:8" x14ac:dyDescent="0.25">
      <c r="A486" t="s">
        <v>411</v>
      </c>
      <c r="B486" t="s">
        <v>412</v>
      </c>
      <c r="C486" t="s">
        <v>9</v>
      </c>
      <c r="E486" t="s">
        <v>10</v>
      </c>
      <c r="F486" t="s">
        <v>11</v>
      </c>
      <c r="G486">
        <v>3861</v>
      </c>
      <c r="H486" t="str">
        <f>VLOOKUP(B486,Sheet1!C:D,2,0)</f>
        <v>山东卫视</v>
      </c>
    </row>
    <row r="487" spans="1:8" x14ac:dyDescent="0.25">
      <c r="A487" t="s">
        <v>447</v>
      </c>
      <c r="B487" t="s">
        <v>448</v>
      </c>
      <c r="C487" t="s">
        <v>9</v>
      </c>
      <c r="E487" t="s">
        <v>10</v>
      </c>
      <c r="F487" t="s">
        <v>11</v>
      </c>
      <c r="G487">
        <v>3849</v>
      </c>
      <c r="H487" t="str">
        <f>VLOOKUP(B487,Sheet1!C:D,2,0)</f>
        <v>山东卫视</v>
      </c>
    </row>
    <row r="488" spans="1:8" x14ac:dyDescent="0.25">
      <c r="A488" t="s">
        <v>605</v>
      </c>
      <c r="B488" t="s">
        <v>606</v>
      </c>
      <c r="C488" t="s">
        <v>9</v>
      </c>
      <c r="E488" t="s">
        <v>10</v>
      </c>
      <c r="F488" t="s">
        <v>11</v>
      </c>
      <c r="G488">
        <v>3877</v>
      </c>
      <c r="H488" t="str">
        <f>VLOOKUP(B488,Sheet1!C:D,2,0)</f>
        <v>山东卫视</v>
      </c>
    </row>
    <row r="489" spans="1:8" x14ac:dyDescent="0.25">
      <c r="A489" t="s">
        <v>743</v>
      </c>
      <c r="B489" t="s">
        <v>744</v>
      </c>
      <c r="C489" t="s">
        <v>9</v>
      </c>
      <c r="E489" t="s">
        <v>10</v>
      </c>
      <c r="F489" t="s">
        <v>11</v>
      </c>
      <c r="G489">
        <v>3854</v>
      </c>
      <c r="H489" t="str">
        <f>VLOOKUP(B489,Sheet1!C:D,2,0)</f>
        <v>山东卫视</v>
      </c>
    </row>
    <row r="490" spans="1:8" x14ac:dyDescent="0.25">
      <c r="A490" t="s">
        <v>883</v>
      </c>
      <c r="B490" t="s">
        <v>884</v>
      </c>
      <c r="C490" t="s">
        <v>9</v>
      </c>
      <c r="E490" t="s">
        <v>10</v>
      </c>
      <c r="F490" t="s">
        <v>11</v>
      </c>
      <c r="G490">
        <v>3601</v>
      </c>
      <c r="H490" t="str">
        <f>VLOOKUP(B490,Sheet1!C:D,2,0)</f>
        <v>山东卫视</v>
      </c>
    </row>
    <row r="491" spans="1:8" x14ac:dyDescent="0.25">
      <c r="A491" t="s">
        <v>42</v>
      </c>
      <c r="B491" t="s">
        <v>43</v>
      </c>
      <c r="C491" t="s">
        <v>9</v>
      </c>
      <c r="E491" t="s">
        <v>10</v>
      </c>
      <c r="F491" t="s">
        <v>11</v>
      </c>
      <c r="G491">
        <v>3923</v>
      </c>
      <c r="H491" t="str">
        <f>VLOOKUP(B491,Sheet1!C:D,2,0)</f>
        <v>山西卫视</v>
      </c>
    </row>
    <row r="492" spans="1:8" x14ac:dyDescent="0.25">
      <c r="A492" t="s">
        <v>1244</v>
      </c>
      <c r="B492" t="s">
        <v>1245</v>
      </c>
      <c r="C492" t="s">
        <v>9</v>
      </c>
      <c r="E492" t="s">
        <v>10</v>
      </c>
      <c r="F492" t="s">
        <v>11</v>
      </c>
      <c r="G492">
        <v>3897</v>
      </c>
      <c r="H492" t="str">
        <f>VLOOKUP(B492,Sheet1!C:D,2,0)</f>
        <v>山西卫视</v>
      </c>
    </row>
    <row r="493" spans="1:8" x14ac:dyDescent="0.25">
      <c r="A493" t="s">
        <v>82</v>
      </c>
      <c r="B493" t="s">
        <v>83</v>
      </c>
      <c r="C493" t="s">
        <v>9</v>
      </c>
      <c r="E493" t="s">
        <v>10</v>
      </c>
      <c r="F493" t="s">
        <v>11</v>
      </c>
      <c r="G493">
        <v>3861</v>
      </c>
      <c r="H493" t="str">
        <f>VLOOKUP(B493,Sheet1!C:D,2,0)</f>
        <v>陕西卫视</v>
      </c>
    </row>
    <row r="494" spans="1:8" x14ac:dyDescent="0.25">
      <c r="A494" t="s">
        <v>110</v>
      </c>
      <c r="B494" t="s">
        <v>111</v>
      </c>
      <c r="C494" t="s">
        <v>9</v>
      </c>
      <c r="E494" t="s">
        <v>10</v>
      </c>
      <c r="F494" t="s">
        <v>11</v>
      </c>
      <c r="G494">
        <v>3865</v>
      </c>
      <c r="H494" t="str">
        <f>VLOOKUP(B494,Sheet1!C:D,2,0)</f>
        <v>深圳卫视</v>
      </c>
    </row>
    <row r="495" spans="1:8" x14ac:dyDescent="0.25">
      <c r="A495" t="s">
        <v>134</v>
      </c>
      <c r="B495" t="s">
        <v>135</v>
      </c>
      <c r="C495" t="s">
        <v>9</v>
      </c>
      <c r="E495" t="s">
        <v>10</v>
      </c>
      <c r="F495" t="s">
        <v>11</v>
      </c>
      <c r="G495">
        <v>3946</v>
      </c>
      <c r="H495" t="str">
        <f>VLOOKUP(B495,Sheet1!C:D,2,0)</f>
        <v>深圳卫视</v>
      </c>
    </row>
    <row r="496" spans="1:8" x14ac:dyDescent="0.25">
      <c r="A496" t="s">
        <v>194</v>
      </c>
      <c r="B496" t="s">
        <v>195</v>
      </c>
      <c r="C496" t="s">
        <v>9</v>
      </c>
      <c r="E496" t="s">
        <v>10</v>
      </c>
      <c r="F496" t="s">
        <v>11</v>
      </c>
      <c r="G496">
        <v>3917</v>
      </c>
      <c r="H496" t="str">
        <f>VLOOKUP(B496,Sheet1!C:D,2,0)</f>
        <v>深圳卫视</v>
      </c>
    </row>
    <row r="497" spans="1:8" x14ac:dyDescent="0.25">
      <c r="A497" t="s">
        <v>293</v>
      </c>
      <c r="B497" t="s">
        <v>294</v>
      </c>
      <c r="C497" t="s">
        <v>9</v>
      </c>
      <c r="E497" t="s">
        <v>10</v>
      </c>
      <c r="F497" t="s">
        <v>11</v>
      </c>
      <c r="G497">
        <v>3862</v>
      </c>
      <c r="H497" t="str">
        <f>VLOOKUP(B497,Sheet1!C:D,2,0)</f>
        <v>深圳卫视</v>
      </c>
    </row>
    <row r="498" spans="1:8" x14ac:dyDescent="0.25">
      <c r="A498" t="s">
        <v>353</v>
      </c>
      <c r="B498" t="s">
        <v>354</v>
      </c>
      <c r="C498" t="s">
        <v>9</v>
      </c>
      <c r="E498" t="s">
        <v>10</v>
      </c>
      <c r="F498" t="s">
        <v>11</v>
      </c>
      <c r="G498">
        <v>3936</v>
      </c>
      <c r="H498" t="str">
        <f>VLOOKUP(B498,Sheet1!C:D,2,0)</f>
        <v>深圳卫视</v>
      </c>
    </row>
    <row r="499" spans="1:8" x14ac:dyDescent="0.25">
      <c r="A499" t="s">
        <v>419</v>
      </c>
      <c r="B499" t="s">
        <v>420</v>
      </c>
      <c r="C499" t="s">
        <v>9</v>
      </c>
      <c r="E499" t="s">
        <v>10</v>
      </c>
      <c r="F499" t="s">
        <v>11</v>
      </c>
      <c r="G499">
        <v>3950</v>
      </c>
      <c r="H499" t="str">
        <f>VLOOKUP(B499,Sheet1!C:D,2,0)</f>
        <v>深圳卫视</v>
      </c>
    </row>
    <row r="500" spans="1:8" x14ac:dyDescent="0.25">
      <c r="A500" t="s">
        <v>443</v>
      </c>
      <c r="B500" t="s">
        <v>444</v>
      </c>
      <c r="C500" t="s">
        <v>9</v>
      </c>
      <c r="E500" t="s">
        <v>10</v>
      </c>
      <c r="F500" t="s">
        <v>11</v>
      </c>
      <c r="G500">
        <v>3898</v>
      </c>
      <c r="H500" t="str">
        <f>VLOOKUP(B500,Sheet1!C:D,2,0)</f>
        <v>深圳卫视</v>
      </c>
    </row>
    <row r="501" spans="1:8" x14ac:dyDescent="0.25">
      <c r="A501" t="s">
        <v>707</v>
      </c>
      <c r="B501" t="s">
        <v>708</v>
      </c>
      <c r="C501" t="s">
        <v>9</v>
      </c>
      <c r="E501" t="s">
        <v>10</v>
      </c>
      <c r="F501" t="s">
        <v>11</v>
      </c>
      <c r="G501">
        <v>3927</v>
      </c>
      <c r="H501" t="str">
        <f>VLOOKUP(B501,Sheet1!C:D,2,0)</f>
        <v>深圳卫视</v>
      </c>
    </row>
    <row r="502" spans="1:8" x14ac:dyDescent="0.25">
      <c r="A502" t="s">
        <v>895</v>
      </c>
      <c r="B502" t="s">
        <v>896</v>
      </c>
      <c r="C502" t="s">
        <v>9</v>
      </c>
      <c r="E502" t="s">
        <v>10</v>
      </c>
      <c r="F502" t="s">
        <v>11</v>
      </c>
      <c r="G502">
        <v>4819</v>
      </c>
      <c r="H502" t="str">
        <f>VLOOKUP(B502,Sheet1!C:D,2,0)</f>
        <v>深圳卫视</v>
      </c>
    </row>
    <row r="503" spans="1:8" x14ac:dyDescent="0.25">
      <c r="A503" t="s">
        <v>1192</v>
      </c>
      <c r="B503" t="s">
        <v>1193</v>
      </c>
      <c r="C503" t="s">
        <v>9</v>
      </c>
      <c r="E503" t="s">
        <v>10</v>
      </c>
      <c r="F503" t="s">
        <v>11</v>
      </c>
      <c r="G503">
        <v>4848</v>
      </c>
      <c r="H503" t="str">
        <f>VLOOKUP(B503,Sheet1!C:D,2,0)</f>
        <v>沭阳综合</v>
      </c>
    </row>
    <row r="504" spans="1:8" x14ac:dyDescent="0.25">
      <c r="A504" t="s">
        <v>295</v>
      </c>
      <c r="B504" t="s">
        <v>296</v>
      </c>
      <c r="C504" t="s">
        <v>9</v>
      </c>
      <c r="E504" t="s">
        <v>10</v>
      </c>
      <c r="F504" t="s">
        <v>11</v>
      </c>
      <c r="G504">
        <v>3897</v>
      </c>
      <c r="H504" t="str">
        <f>VLOOKUP(B504,Sheet1!C:D,2,0)</f>
        <v>四川卫视</v>
      </c>
    </row>
    <row r="505" spans="1:8" x14ac:dyDescent="0.25">
      <c r="A505" t="s">
        <v>653</v>
      </c>
      <c r="B505" t="s">
        <v>654</v>
      </c>
      <c r="C505" t="s">
        <v>9</v>
      </c>
      <c r="E505" t="s">
        <v>10</v>
      </c>
      <c r="F505" t="s">
        <v>11</v>
      </c>
      <c r="G505">
        <v>3891</v>
      </c>
      <c r="H505" t="str">
        <f>VLOOKUP(B505,Sheet1!C:D,2,0)</f>
        <v>四川卫视</v>
      </c>
    </row>
    <row r="506" spans="1:8" x14ac:dyDescent="0.25">
      <c r="A506" t="s">
        <v>1011</v>
      </c>
      <c r="B506" t="s">
        <v>1012</v>
      </c>
      <c r="C506" t="s">
        <v>9</v>
      </c>
      <c r="E506" t="s">
        <v>10</v>
      </c>
      <c r="F506" t="s">
        <v>11</v>
      </c>
      <c r="G506">
        <v>4778</v>
      </c>
      <c r="H506" t="str">
        <f>VLOOKUP(B506,Sheet1!C:D,2,0)</f>
        <v>四川卫视</v>
      </c>
    </row>
    <row r="507" spans="1:8" x14ac:dyDescent="0.25">
      <c r="A507" t="s">
        <v>1132</v>
      </c>
      <c r="B507" t="s">
        <v>1133</v>
      </c>
      <c r="C507" t="s">
        <v>9</v>
      </c>
      <c r="E507" t="s">
        <v>10</v>
      </c>
      <c r="F507" t="s">
        <v>11</v>
      </c>
      <c r="G507">
        <v>4816</v>
      </c>
      <c r="H507" t="str">
        <f>VLOOKUP(B507,Sheet1!C:D,2,0)</f>
        <v>苏超-8735</v>
      </c>
    </row>
    <row r="508" spans="1:8" x14ac:dyDescent="0.25">
      <c r="A508" t="s">
        <v>1134</v>
      </c>
      <c r="B508" t="s">
        <v>1135</v>
      </c>
      <c r="C508" t="s">
        <v>9</v>
      </c>
      <c r="E508" t="s">
        <v>10</v>
      </c>
      <c r="F508" t="s">
        <v>11</v>
      </c>
      <c r="G508">
        <v>4756</v>
      </c>
      <c r="H508" t="str">
        <f>VLOOKUP(B508,Sheet1!C:D,2,0)</f>
        <v>苏超-8738</v>
      </c>
    </row>
    <row r="509" spans="1:8" x14ac:dyDescent="0.25">
      <c r="A509" t="s">
        <v>1140</v>
      </c>
      <c r="B509" t="s">
        <v>1141</v>
      </c>
      <c r="C509" t="s">
        <v>9</v>
      </c>
      <c r="E509" t="s">
        <v>10</v>
      </c>
      <c r="F509" t="s">
        <v>11</v>
      </c>
      <c r="G509">
        <v>4785</v>
      </c>
      <c r="H509" t="str">
        <f>VLOOKUP(B509,Sheet1!C:D,2,0)</f>
        <v>苏超-8741</v>
      </c>
    </row>
    <row r="510" spans="1:8" x14ac:dyDescent="0.25">
      <c r="A510" t="s">
        <v>1146</v>
      </c>
      <c r="B510" t="s">
        <v>1147</v>
      </c>
      <c r="C510" t="s">
        <v>9</v>
      </c>
      <c r="E510" t="s">
        <v>10</v>
      </c>
      <c r="F510" t="s">
        <v>11</v>
      </c>
      <c r="G510">
        <v>4791</v>
      </c>
      <c r="H510" t="str">
        <f>VLOOKUP(B510,Sheet1!C:D,2,0)</f>
        <v>苏超-8747</v>
      </c>
    </row>
    <row r="511" spans="1:8" x14ac:dyDescent="0.25">
      <c r="A511" t="s">
        <v>1152</v>
      </c>
      <c r="B511" t="s">
        <v>1153</v>
      </c>
      <c r="C511" t="s">
        <v>9</v>
      </c>
      <c r="E511" t="s">
        <v>10</v>
      </c>
      <c r="F511" t="s">
        <v>11</v>
      </c>
      <c r="G511">
        <v>4933</v>
      </c>
      <c r="H511" t="str">
        <f>VLOOKUP(B511,Sheet1!C:D,2,0)</f>
        <v>苏超-8750</v>
      </c>
    </row>
    <row r="512" spans="1:8" x14ac:dyDescent="0.25">
      <c r="A512" t="s">
        <v>1184</v>
      </c>
      <c r="B512" t="s">
        <v>1185</v>
      </c>
      <c r="C512" t="s">
        <v>9</v>
      </c>
      <c r="E512" t="s">
        <v>10</v>
      </c>
      <c r="F512" t="s">
        <v>11</v>
      </c>
      <c r="G512">
        <v>5024</v>
      </c>
      <c r="H512" t="str">
        <f>VLOOKUP(B512,Sheet1!C:D,2,0)</f>
        <v>苏超-8803</v>
      </c>
    </row>
    <row r="513" spans="1:8" x14ac:dyDescent="0.25">
      <c r="A513" t="s">
        <v>1230</v>
      </c>
      <c r="B513" t="s">
        <v>1231</v>
      </c>
      <c r="C513" t="s">
        <v>9</v>
      </c>
      <c r="E513" t="s">
        <v>10</v>
      </c>
      <c r="F513" t="s">
        <v>11</v>
      </c>
      <c r="G513">
        <v>4791</v>
      </c>
      <c r="H513" t="str">
        <f>VLOOKUP(B513,Sheet1!C:D,2,0)</f>
        <v>苏超-8850</v>
      </c>
    </row>
    <row r="514" spans="1:8" x14ac:dyDescent="0.25">
      <c r="A514" t="s">
        <v>1240</v>
      </c>
      <c r="B514" t="s">
        <v>1241</v>
      </c>
      <c r="C514" t="s">
        <v>9</v>
      </c>
      <c r="E514" t="s">
        <v>10</v>
      </c>
      <c r="F514" t="s">
        <v>11</v>
      </c>
      <c r="G514">
        <v>4707</v>
      </c>
      <c r="H514" t="str">
        <f>VLOOKUP(B514,Sheet1!C:D,2,0)</f>
        <v>苏超-8864</v>
      </c>
    </row>
    <row r="515" spans="1:8" x14ac:dyDescent="0.25">
      <c r="A515" t="s">
        <v>1242</v>
      </c>
      <c r="B515" t="s">
        <v>1243</v>
      </c>
      <c r="C515" t="s">
        <v>9</v>
      </c>
      <c r="E515" t="s">
        <v>10</v>
      </c>
      <c r="F515" t="s">
        <v>11</v>
      </c>
      <c r="G515">
        <v>4780</v>
      </c>
      <c r="H515" t="str">
        <f>VLOOKUP(B515,Sheet1!C:D,2,0)</f>
        <v>苏超-8867</v>
      </c>
    </row>
    <row r="516" spans="1:8" x14ac:dyDescent="0.25">
      <c r="A516" t="s">
        <v>1259</v>
      </c>
      <c r="B516" t="s">
        <v>1260</v>
      </c>
      <c r="C516" t="s">
        <v>9</v>
      </c>
      <c r="E516" t="s">
        <v>10</v>
      </c>
      <c r="F516" t="s">
        <v>11</v>
      </c>
      <c r="G516">
        <v>4841</v>
      </c>
      <c r="H516" t="str">
        <f>VLOOKUP(B516,Sheet1!C:D,2,0)</f>
        <v>苏超-8902</v>
      </c>
    </row>
    <row r="517" spans="1:8" x14ac:dyDescent="0.25">
      <c r="A517" t="s">
        <v>1261</v>
      </c>
      <c r="B517" t="s">
        <v>1262</v>
      </c>
      <c r="C517" t="s">
        <v>9</v>
      </c>
      <c r="E517" t="s">
        <v>10</v>
      </c>
      <c r="F517" t="s">
        <v>11</v>
      </c>
      <c r="G517">
        <v>4830</v>
      </c>
      <c r="H517" t="str">
        <f>VLOOKUP(B517,Sheet1!C:D,2,0)</f>
        <v>苏超-8905</v>
      </c>
    </row>
    <row r="518" spans="1:8" x14ac:dyDescent="0.25">
      <c r="A518" t="s">
        <v>1263</v>
      </c>
      <c r="B518" t="s">
        <v>1264</v>
      </c>
      <c r="C518" t="s">
        <v>9</v>
      </c>
      <c r="E518" t="s">
        <v>10</v>
      </c>
      <c r="F518" t="s">
        <v>11</v>
      </c>
      <c r="G518">
        <v>4772</v>
      </c>
      <c r="H518" t="str">
        <f>VLOOKUP(B518,Sheet1!C:D,2,0)</f>
        <v>苏超-8908</v>
      </c>
    </row>
    <row r="519" spans="1:8" x14ac:dyDescent="0.25">
      <c r="A519" t="s">
        <v>525</v>
      </c>
      <c r="B519" t="s">
        <v>526</v>
      </c>
      <c r="C519" t="s">
        <v>9</v>
      </c>
      <c r="E519" t="s">
        <v>10</v>
      </c>
      <c r="F519" t="s">
        <v>11</v>
      </c>
      <c r="G519">
        <v>4375</v>
      </c>
      <c r="H519" t="str">
        <f>VLOOKUP(B519,Sheet1!C:D,2,0)</f>
        <v>苏超电视墙-7896</v>
      </c>
    </row>
    <row r="520" spans="1:8" x14ac:dyDescent="0.25">
      <c r="A520" t="s">
        <v>74</v>
      </c>
      <c r="B520" t="s">
        <v>75</v>
      </c>
      <c r="C520" t="s">
        <v>9</v>
      </c>
      <c r="E520" t="s">
        <v>10</v>
      </c>
      <c r="F520" t="s">
        <v>11</v>
      </c>
      <c r="G520">
        <v>3637</v>
      </c>
      <c r="H520" t="str">
        <f>VLOOKUP(B520,Sheet1!C:D,2,0)</f>
        <v>宿迁公共</v>
      </c>
    </row>
    <row r="521" spans="1:8" x14ac:dyDescent="0.25">
      <c r="A521" t="s">
        <v>76</v>
      </c>
      <c r="B521" t="s">
        <v>77</v>
      </c>
      <c r="C521" t="s">
        <v>9</v>
      </c>
      <c r="E521" t="s">
        <v>10</v>
      </c>
      <c r="F521" t="s">
        <v>11</v>
      </c>
      <c r="G521">
        <v>3568</v>
      </c>
      <c r="H521" t="str">
        <f>VLOOKUP(B521,Sheet1!C:D,2,0)</f>
        <v>宿迁综合</v>
      </c>
    </row>
    <row r="522" spans="1:8" x14ac:dyDescent="0.25">
      <c r="A522" t="s">
        <v>465</v>
      </c>
      <c r="B522" t="s">
        <v>466</v>
      </c>
      <c r="C522" t="s">
        <v>9</v>
      </c>
      <c r="E522" t="s">
        <v>10</v>
      </c>
      <c r="F522" t="s">
        <v>11</v>
      </c>
      <c r="G522">
        <v>3661</v>
      </c>
      <c r="H522" t="str">
        <f>VLOOKUP(B522,Sheet1!C:D,2,0)</f>
        <v>睢宁三农</v>
      </c>
    </row>
    <row r="523" spans="1:8" x14ac:dyDescent="0.25">
      <c r="A523" t="s">
        <v>467</v>
      </c>
      <c r="B523" t="s">
        <v>468</v>
      </c>
      <c r="C523" t="s">
        <v>9</v>
      </c>
      <c r="E523" t="s">
        <v>10</v>
      </c>
      <c r="F523" t="s">
        <v>11</v>
      </c>
      <c r="G523">
        <v>3659</v>
      </c>
      <c r="H523" t="str">
        <f>VLOOKUP(B523,Sheet1!C:D,2,0)</f>
        <v>睢宁资讯</v>
      </c>
    </row>
    <row r="524" spans="1:8" x14ac:dyDescent="0.25">
      <c r="A524" t="s">
        <v>461</v>
      </c>
      <c r="B524" t="s">
        <v>462</v>
      </c>
      <c r="C524" t="s">
        <v>9</v>
      </c>
      <c r="E524" t="s">
        <v>10</v>
      </c>
      <c r="F524" t="s">
        <v>11</v>
      </c>
      <c r="G524">
        <v>3666</v>
      </c>
      <c r="H524" t="str">
        <f>VLOOKUP(B524,Sheet1!C:D,2,0)</f>
        <v>睢宁综合</v>
      </c>
    </row>
    <row r="525" spans="1:8" x14ac:dyDescent="0.25">
      <c r="A525" t="s">
        <v>681</v>
      </c>
      <c r="B525" t="s">
        <v>682</v>
      </c>
      <c r="C525" t="s">
        <v>9</v>
      </c>
      <c r="E525" t="s">
        <v>10</v>
      </c>
      <c r="F525" t="s">
        <v>11</v>
      </c>
      <c r="G525">
        <v>3599</v>
      </c>
      <c r="H525" t="str">
        <f>VLOOKUP(B525,Sheet1!C:D,2,0)</f>
        <v>泰州-1</v>
      </c>
    </row>
    <row r="526" spans="1:8" x14ac:dyDescent="0.25">
      <c r="A526" t="s">
        <v>685</v>
      </c>
      <c r="B526" t="s">
        <v>686</v>
      </c>
      <c r="C526" t="s">
        <v>9</v>
      </c>
      <c r="E526" t="s">
        <v>10</v>
      </c>
      <c r="F526" t="s">
        <v>11</v>
      </c>
      <c r="G526">
        <v>3573</v>
      </c>
      <c r="H526" t="str">
        <f>VLOOKUP(B526,Sheet1!C:D,2,0)</f>
        <v>泰州-2</v>
      </c>
    </row>
    <row r="527" spans="1:8" x14ac:dyDescent="0.25">
      <c r="A527" t="s">
        <v>583</v>
      </c>
      <c r="B527" t="s">
        <v>584</v>
      </c>
      <c r="C527" t="s">
        <v>9</v>
      </c>
      <c r="E527" t="s">
        <v>10</v>
      </c>
      <c r="F527" t="s">
        <v>11</v>
      </c>
      <c r="G527">
        <v>3586</v>
      </c>
      <c r="H527" t="str">
        <f>VLOOKUP(B527,Sheet1!C:D,2,0)</f>
        <v>泰州-3</v>
      </c>
    </row>
    <row r="528" spans="1:8" x14ac:dyDescent="0.25">
      <c r="A528" t="s">
        <v>1120</v>
      </c>
      <c r="B528" t="s">
        <v>1121</v>
      </c>
      <c r="C528" t="s">
        <v>9</v>
      </c>
      <c r="E528" t="s">
        <v>10</v>
      </c>
      <c r="F528" t="s">
        <v>11</v>
      </c>
      <c r="G528">
        <v>5133</v>
      </c>
      <c r="H528" t="str">
        <f>VLOOKUP(B528,Sheet1!C:D,2,0)</f>
        <v>体育-8726</v>
      </c>
    </row>
    <row r="529" spans="1:8" x14ac:dyDescent="0.25">
      <c r="A529" t="s">
        <v>1136</v>
      </c>
      <c r="B529" t="s">
        <v>1137</v>
      </c>
      <c r="C529" t="s">
        <v>9</v>
      </c>
      <c r="E529" t="s">
        <v>10</v>
      </c>
      <c r="F529" t="s">
        <v>11</v>
      </c>
      <c r="G529">
        <v>5223</v>
      </c>
      <c r="H529" t="str">
        <f>VLOOKUP(B529,Sheet1!C:D,2,0)</f>
        <v>体育-8737</v>
      </c>
    </row>
    <row r="530" spans="1:8" x14ac:dyDescent="0.25">
      <c r="A530" t="s">
        <v>104</v>
      </c>
      <c r="B530" t="s">
        <v>105</v>
      </c>
      <c r="C530" t="s">
        <v>9</v>
      </c>
      <c r="E530" t="s">
        <v>10</v>
      </c>
      <c r="F530" t="s">
        <v>11</v>
      </c>
      <c r="G530">
        <v>3938</v>
      </c>
      <c r="H530" t="str">
        <f>VLOOKUP(B530,Sheet1!C:D,2,0)</f>
        <v>天津卫视</v>
      </c>
    </row>
    <row r="531" spans="1:8" x14ac:dyDescent="0.25">
      <c r="A531" t="s">
        <v>158</v>
      </c>
      <c r="B531" t="s">
        <v>159</v>
      </c>
      <c r="C531" t="s">
        <v>9</v>
      </c>
      <c r="E531" t="s">
        <v>10</v>
      </c>
      <c r="F531" t="s">
        <v>11</v>
      </c>
      <c r="G531">
        <v>3881</v>
      </c>
      <c r="H531" t="str">
        <f>VLOOKUP(B531,Sheet1!C:D,2,0)</f>
        <v>天津卫视</v>
      </c>
    </row>
    <row r="532" spans="1:8" x14ac:dyDescent="0.25">
      <c r="A532" t="s">
        <v>178</v>
      </c>
      <c r="B532" t="s">
        <v>179</v>
      </c>
      <c r="C532" t="s">
        <v>9</v>
      </c>
      <c r="E532" t="s">
        <v>10</v>
      </c>
      <c r="F532" t="s">
        <v>11</v>
      </c>
      <c r="G532">
        <v>3890</v>
      </c>
      <c r="H532" t="str">
        <f>VLOOKUP(B532,Sheet1!C:D,2,0)</f>
        <v>天津卫视</v>
      </c>
    </row>
    <row r="533" spans="1:8" x14ac:dyDescent="0.25">
      <c r="A533" t="s">
        <v>220</v>
      </c>
      <c r="B533" t="s">
        <v>221</v>
      </c>
      <c r="C533" t="s">
        <v>9</v>
      </c>
      <c r="E533" t="s">
        <v>10</v>
      </c>
      <c r="F533" t="s">
        <v>11</v>
      </c>
      <c r="G533">
        <v>3894</v>
      </c>
      <c r="H533" t="str">
        <f>VLOOKUP(B533,Sheet1!C:D,2,0)</f>
        <v>天津卫视</v>
      </c>
    </row>
    <row r="534" spans="1:8" x14ac:dyDescent="0.25">
      <c r="A534" t="s">
        <v>365</v>
      </c>
      <c r="B534" t="s">
        <v>366</v>
      </c>
      <c r="C534" t="s">
        <v>9</v>
      </c>
      <c r="E534" t="s">
        <v>10</v>
      </c>
      <c r="F534" t="s">
        <v>11</v>
      </c>
      <c r="G534">
        <v>3957</v>
      </c>
      <c r="H534" t="str">
        <f>VLOOKUP(B534,Sheet1!C:D,2,0)</f>
        <v>天津卫视</v>
      </c>
    </row>
    <row r="535" spans="1:8" x14ac:dyDescent="0.25">
      <c r="A535" t="s">
        <v>499</v>
      </c>
      <c r="B535" t="s">
        <v>500</v>
      </c>
      <c r="C535" t="s">
        <v>9</v>
      </c>
      <c r="E535" t="s">
        <v>10</v>
      </c>
      <c r="F535" t="s">
        <v>11</v>
      </c>
      <c r="G535">
        <v>3879</v>
      </c>
      <c r="H535" t="str">
        <f>VLOOKUP(B535,Sheet1!C:D,2,0)</f>
        <v>天津卫视</v>
      </c>
    </row>
    <row r="536" spans="1:8" x14ac:dyDescent="0.25">
      <c r="A536" t="s">
        <v>511</v>
      </c>
      <c r="B536" t="s">
        <v>512</v>
      </c>
      <c r="C536" t="s">
        <v>9</v>
      </c>
      <c r="E536" t="s">
        <v>10</v>
      </c>
      <c r="F536" t="s">
        <v>11</v>
      </c>
      <c r="G536">
        <v>3950</v>
      </c>
      <c r="H536" t="str">
        <f>VLOOKUP(B536,Sheet1!C:D,2,0)</f>
        <v>天津卫视</v>
      </c>
    </row>
    <row r="537" spans="1:8" x14ac:dyDescent="0.25">
      <c r="A537" t="s">
        <v>711</v>
      </c>
      <c r="B537" t="s">
        <v>712</v>
      </c>
      <c r="C537" t="s">
        <v>9</v>
      </c>
      <c r="E537" t="s">
        <v>10</v>
      </c>
      <c r="F537" t="s">
        <v>11</v>
      </c>
      <c r="G537">
        <v>3918</v>
      </c>
      <c r="H537" t="str">
        <f>VLOOKUP(B537,Sheet1!C:D,2,0)</f>
        <v>天津卫视</v>
      </c>
    </row>
    <row r="538" spans="1:8" x14ac:dyDescent="0.25">
      <c r="A538" t="s">
        <v>767</v>
      </c>
      <c r="B538" t="s">
        <v>768</v>
      </c>
      <c r="C538" t="s">
        <v>9</v>
      </c>
      <c r="E538" t="s">
        <v>10</v>
      </c>
      <c r="F538" t="s">
        <v>11</v>
      </c>
      <c r="G538">
        <v>3930</v>
      </c>
      <c r="H538" t="str">
        <f>VLOOKUP(B538,Sheet1!C:D,2,0)</f>
        <v>天津卫视</v>
      </c>
    </row>
    <row r="539" spans="1:8" x14ac:dyDescent="0.25">
      <c r="A539" t="s">
        <v>817</v>
      </c>
      <c r="B539" t="s">
        <v>818</v>
      </c>
      <c r="C539" t="s">
        <v>9</v>
      </c>
      <c r="E539" t="s">
        <v>10</v>
      </c>
      <c r="F539" t="s">
        <v>11</v>
      </c>
      <c r="G539">
        <v>4801</v>
      </c>
      <c r="H539" t="str">
        <f>VLOOKUP(B539,Sheet1!C:D,2,0)</f>
        <v>天元围棋</v>
      </c>
    </row>
    <row r="540" spans="1:8" x14ac:dyDescent="0.25">
      <c r="A540" t="s">
        <v>635</v>
      </c>
      <c r="B540" t="s">
        <v>636</v>
      </c>
      <c r="C540" t="s">
        <v>9</v>
      </c>
      <c r="E540" t="s">
        <v>10</v>
      </c>
      <c r="F540" t="s">
        <v>11</v>
      </c>
      <c r="G540">
        <v>3643</v>
      </c>
      <c r="H540" t="str">
        <f>VLOOKUP(B540,Sheet1!C:D,2,0)</f>
        <v>铜山-1</v>
      </c>
    </row>
    <row r="541" spans="1:8" x14ac:dyDescent="0.25">
      <c r="A541" t="s">
        <v>569</v>
      </c>
      <c r="B541" t="s">
        <v>570</v>
      </c>
      <c r="C541" t="s">
        <v>9</v>
      </c>
      <c r="E541" t="s">
        <v>10</v>
      </c>
      <c r="F541" t="s">
        <v>11</v>
      </c>
      <c r="G541">
        <v>3603</v>
      </c>
      <c r="H541" t="str">
        <f>VLOOKUP(B541,Sheet1!C:D,2,0)</f>
        <v>铜山-2</v>
      </c>
    </row>
    <row r="542" spans="1:8" x14ac:dyDescent="0.25">
      <c r="A542" t="s">
        <v>563</v>
      </c>
      <c r="B542" t="s">
        <v>564</v>
      </c>
      <c r="C542" t="s">
        <v>9</v>
      </c>
      <c r="E542" t="s">
        <v>10</v>
      </c>
      <c r="F542" t="s">
        <v>11</v>
      </c>
      <c r="G542">
        <v>3612</v>
      </c>
      <c r="H542" t="str">
        <f>VLOOKUP(B542,Sheet1!C:D,2,0)</f>
        <v>铜山-3</v>
      </c>
    </row>
    <row r="543" spans="1:8" x14ac:dyDescent="0.25">
      <c r="A543" t="s">
        <v>717</v>
      </c>
      <c r="B543" t="s">
        <v>718</v>
      </c>
      <c r="C543" t="s">
        <v>9</v>
      </c>
      <c r="E543" t="s">
        <v>10</v>
      </c>
      <c r="F543" t="s">
        <v>11</v>
      </c>
      <c r="G543">
        <v>3866</v>
      </c>
      <c r="H543" t="str">
        <f>VLOOKUP(B543,Sheet1!C:D,2,0)</f>
        <v>铜山-4</v>
      </c>
    </row>
    <row r="544" spans="1:8" x14ac:dyDescent="0.25">
      <c r="A544" t="s">
        <v>1267</v>
      </c>
      <c r="B544" t="s">
        <v>1268</v>
      </c>
      <c r="C544" t="s">
        <v>9</v>
      </c>
      <c r="E544" t="s">
        <v>10</v>
      </c>
      <c r="F544" t="s">
        <v>11</v>
      </c>
      <c r="G544">
        <v>3624</v>
      </c>
      <c r="H544" t="str">
        <f>VLOOKUP(B544,Sheet1!C:D,2,0)</f>
        <v>无锡都市资讯</v>
      </c>
    </row>
    <row r="545" spans="1:8" x14ac:dyDescent="0.25">
      <c r="A545" t="s">
        <v>587</v>
      </c>
      <c r="B545" t="s">
        <v>588</v>
      </c>
      <c r="C545" t="s">
        <v>9</v>
      </c>
      <c r="E545" t="s">
        <v>10</v>
      </c>
      <c r="F545" t="s">
        <v>11</v>
      </c>
      <c r="G545">
        <v>3569</v>
      </c>
      <c r="H545" t="str">
        <f>VLOOKUP(B545,Sheet1!C:D,2,0)</f>
        <v>无锡新闻综合</v>
      </c>
    </row>
    <row r="546" spans="1:8" x14ac:dyDescent="0.25">
      <c r="A546" t="s">
        <v>1232</v>
      </c>
      <c r="B546" t="s">
        <v>1233</v>
      </c>
      <c r="C546" t="s">
        <v>9</v>
      </c>
      <c r="E546" t="s">
        <v>10</v>
      </c>
      <c r="F546" t="s">
        <v>11</v>
      </c>
      <c r="G546">
        <v>4469</v>
      </c>
      <c r="H546" t="str">
        <f>VLOOKUP(B546,Sheet1!C:D,2,0)</f>
        <v>无锡新闻综合</v>
      </c>
    </row>
    <row r="547" spans="1:8" x14ac:dyDescent="0.25">
      <c r="A547" t="s">
        <v>72</v>
      </c>
      <c r="B547" t="s">
        <v>73</v>
      </c>
      <c r="C547" t="s">
        <v>9</v>
      </c>
      <c r="E547" t="s">
        <v>10</v>
      </c>
      <c r="F547" t="s">
        <v>11</v>
      </c>
      <c r="G547">
        <v>3954</v>
      </c>
      <c r="H547" t="str">
        <f>VLOOKUP(B547,Sheet1!C:D,2,0)</f>
        <v>西藏卫视</v>
      </c>
    </row>
    <row r="548" spans="1:8" x14ac:dyDescent="0.25">
      <c r="A548" t="s">
        <v>1051</v>
      </c>
      <c r="B548" t="s">
        <v>1052</v>
      </c>
      <c r="C548" t="s">
        <v>9</v>
      </c>
      <c r="E548" t="s">
        <v>10</v>
      </c>
      <c r="F548" t="s">
        <v>11</v>
      </c>
      <c r="G548">
        <v>4393</v>
      </c>
      <c r="H548" t="str">
        <f>VLOOKUP(B548,Sheet1!C:D,2,0)</f>
        <v>戏曲-8673</v>
      </c>
    </row>
    <row r="549" spans="1:8" x14ac:dyDescent="0.25">
      <c r="A549" t="s">
        <v>50</v>
      </c>
      <c r="B549" t="s">
        <v>51</v>
      </c>
      <c r="C549" t="s">
        <v>9</v>
      </c>
      <c r="E549" t="s">
        <v>10</v>
      </c>
      <c r="F549" t="s">
        <v>11</v>
      </c>
      <c r="G549">
        <v>3905</v>
      </c>
      <c r="H549" t="str">
        <f>VLOOKUP(B549,Sheet1!C:D,2,0)</f>
        <v>新疆卫视</v>
      </c>
    </row>
    <row r="550" spans="1:8" x14ac:dyDescent="0.25">
      <c r="A550" t="s">
        <v>725</v>
      </c>
      <c r="B550" t="s">
        <v>726</v>
      </c>
      <c r="C550" t="s">
        <v>9</v>
      </c>
      <c r="E550" t="s">
        <v>10</v>
      </c>
      <c r="F550" t="s">
        <v>11</v>
      </c>
      <c r="G550">
        <v>3894</v>
      </c>
      <c r="H550" t="str">
        <f>VLOOKUP(B550,Sheet1!C:D,2,0)</f>
        <v>新疆卫视</v>
      </c>
    </row>
    <row r="551" spans="1:8" x14ac:dyDescent="0.25">
      <c r="A551" t="s">
        <v>124</v>
      </c>
      <c r="B551" t="s">
        <v>125</v>
      </c>
      <c r="C551" t="s">
        <v>9</v>
      </c>
      <c r="E551" t="s">
        <v>10</v>
      </c>
      <c r="F551" t="s">
        <v>11</v>
      </c>
      <c r="G551">
        <v>3336</v>
      </c>
      <c r="H551" t="str">
        <f>VLOOKUP(B551,Sheet1!C:D,2,0)</f>
        <v>新沂-1</v>
      </c>
    </row>
    <row r="552" spans="1:8" x14ac:dyDescent="0.25">
      <c r="A552" t="s">
        <v>1224</v>
      </c>
      <c r="B552" t="s">
        <v>1225</v>
      </c>
      <c r="C552" t="s">
        <v>9</v>
      </c>
      <c r="E552" t="s">
        <v>10</v>
      </c>
      <c r="F552" t="s">
        <v>11</v>
      </c>
      <c r="G552">
        <v>3668</v>
      </c>
      <c r="H552" t="str">
        <f>VLOOKUP(B552,Sheet1!C:D,2,0)</f>
        <v>盱眙综合</v>
      </c>
    </row>
    <row r="553" spans="1:8" x14ac:dyDescent="0.25">
      <c r="A553" t="s">
        <v>62</v>
      </c>
      <c r="B553" t="s">
        <v>63</v>
      </c>
      <c r="C553" t="s">
        <v>9</v>
      </c>
      <c r="E553" t="s">
        <v>10</v>
      </c>
      <c r="F553" t="s">
        <v>11</v>
      </c>
      <c r="G553">
        <v>3605</v>
      </c>
      <c r="H553" t="str">
        <f>VLOOKUP(B553,Sheet1!C:D,2,0)</f>
        <v>徐州-1</v>
      </c>
    </row>
    <row r="554" spans="1:8" x14ac:dyDescent="0.25">
      <c r="A554" t="s">
        <v>64</v>
      </c>
      <c r="B554" t="s">
        <v>65</v>
      </c>
      <c r="C554" t="s">
        <v>9</v>
      </c>
      <c r="E554" t="s">
        <v>10</v>
      </c>
      <c r="F554" t="s">
        <v>11</v>
      </c>
      <c r="G554">
        <v>3578</v>
      </c>
      <c r="H554" t="str">
        <f>VLOOKUP(B554,Sheet1!C:D,2,0)</f>
        <v>徐州-2</v>
      </c>
    </row>
    <row r="555" spans="1:8" x14ac:dyDescent="0.25">
      <c r="A555" t="s">
        <v>66</v>
      </c>
      <c r="B555" t="s">
        <v>67</v>
      </c>
      <c r="C555" t="s">
        <v>9</v>
      </c>
      <c r="E555" t="s">
        <v>10</v>
      </c>
      <c r="F555" t="s">
        <v>11</v>
      </c>
      <c r="G555">
        <v>3561</v>
      </c>
      <c r="H555" t="str">
        <f>VLOOKUP(B555,Sheet1!C:D,2,0)</f>
        <v>徐州-3</v>
      </c>
    </row>
    <row r="556" spans="1:8" x14ac:dyDescent="0.25">
      <c r="A556" t="s">
        <v>68</v>
      </c>
      <c r="B556" t="s">
        <v>69</v>
      </c>
      <c r="C556" t="s">
        <v>9</v>
      </c>
      <c r="E556" t="s">
        <v>10</v>
      </c>
      <c r="F556" t="s">
        <v>11</v>
      </c>
      <c r="G556">
        <v>3764</v>
      </c>
      <c r="H556" t="str">
        <f>VLOOKUP(B556,Sheet1!C:D,2,0)</f>
        <v>徐州-4</v>
      </c>
    </row>
    <row r="557" spans="1:8" x14ac:dyDescent="0.25">
      <c r="A557" t="s">
        <v>206</v>
      </c>
      <c r="B557" t="s">
        <v>207</v>
      </c>
      <c r="C557" t="s">
        <v>9</v>
      </c>
      <c r="E557" t="s">
        <v>10</v>
      </c>
      <c r="F557" t="s">
        <v>11</v>
      </c>
      <c r="G557">
        <v>3793</v>
      </c>
      <c r="H557" t="str">
        <f>VLOOKUP(B557,Sheet1!C:D,2,0)</f>
        <v>炫舞未来</v>
      </c>
    </row>
    <row r="558" spans="1:8" x14ac:dyDescent="0.25">
      <c r="A558" t="s">
        <v>777</v>
      </c>
      <c r="B558" t="s">
        <v>778</v>
      </c>
      <c r="C558" t="s">
        <v>9</v>
      </c>
      <c r="E558" t="s">
        <v>10</v>
      </c>
      <c r="F558" t="s">
        <v>11</v>
      </c>
      <c r="G558">
        <v>4748</v>
      </c>
      <c r="H558" t="str">
        <f>VLOOKUP(B558,Sheet1!C:D,2,0)</f>
        <v>盐城-1</v>
      </c>
    </row>
    <row r="559" spans="1:8" x14ac:dyDescent="0.25">
      <c r="A559" t="s">
        <v>775</v>
      </c>
      <c r="B559" t="s">
        <v>776</v>
      </c>
      <c r="C559" t="s">
        <v>9</v>
      </c>
      <c r="E559" t="s">
        <v>10</v>
      </c>
      <c r="F559" t="s">
        <v>11</v>
      </c>
      <c r="G559">
        <v>3645</v>
      </c>
      <c r="H559" t="str">
        <f>VLOOKUP(B559,Sheet1!C:D,2,0)</f>
        <v>盐城-2</v>
      </c>
    </row>
    <row r="560" spans="1:8" x14ac:dyDescent="0.25">
      <c r="A560" t="s">
        <v>779</v>
      </c>
      <c r="B560" t="s">
        <v>780</v>
      </c>
      <c r="C560" t="s">
        <v>9</v>
      </c>
      <c r="E560" t="s">
        <v>10</v>
      </c>
      <c r="F560" t="s">
        <v>11</v>
      </c>
      <c r="G560">
        <v>4891</v>
      </c>
      <c r="H560" t="str">
        <f>VLOOKUP(B560,Sheet1!C:D,2,0)</f>
        <v>盐城-3</v>
      </c>
    </row>
    <row r="561" spans="1:8" x14ac:dyDescent="0.25">
      <c r="A561" t="s">
        <v>1271</v>
      </c>
      <c r="B561" t="s">
        <v>1272</v>
      </c>
      <c r="C561" t="s">
        <v>9</v>
      </c>
      <c r="E561" t="s">
        <v>10</v>
      </c>
      <c r="F561" t="s">
        <v>11</v>
      </c>
      <c r="G561">
        <v>3796</v>
      </c>
      <c r="H561" t="str">
        <f>VLOOKUP(B561,Sheet1!C:D,2,0)</f>
        <v>央广网</v>
      </c>
    </row>
    <row r="562" spans="1:8" x14ac:dyDescent="0.25">
      <c r="A562" t="s">
        <v>339</v>
      </c>
      <c r="B562" t="s">
        <v>340</v>
      </c>
      <c r="C562" t="s">
        <v>9</v>
      </c>
      <c r="E562" t="s">
        <v>10</v>
      </c>
      <c r="F562" t="s">
        <v>11</v>
      </c>
      <c r="G562">
        <v>3935</v>
      </c>
      <c r="H562" t="str">
        <f>VLOOKUP(B562,Sheet1!C:D,2,0)</f>
        <v>怡伴健康</v>
      </c>
    </row>
    <row r="563" spans="1:8" x14ac:dyDescent="0.25">
      <c r="A563" t="s">
        <v>919</v>
      </c>
      <c r="B563" t="s">
        <v>920</v>
      </c>
      <c r="C563" t="s">
        <v>9</v>
      </c>
      <c r="E563" t="s">
        <v>10</v>
      </c>
      <c r="F563" t="s">
        <v>11</v>
      </c>
      <c r="G563">
        <v>4225</v>
      </c>
      <c r="H563" t="str">
        <f>VLOOKUP(B563,Sheet1!C:D,2,0)</f>
        <v>音乐-8592</v>
      </c>
    </row>
    <row r="564" spans="1:8" x14ac:dyDescent="0.25">
      <c r="A564" t="s">
        <v>999</v>
      </c>
      <c r="B564" t="s">
        <v>1000</v>
      </c>
      <c r="C564" t="s">
        <v>9</v>
      </c>
      <c r="E564" t="s">
        <v>10</v>
      </c>
      <c r="F564" t="s">
        <v>11</v>
      </c>
      <c r="G564">
        <v>4776</v>
      </c>
      <c r="H564" t="str">
        <f>VLOOKUP(B564,Sheet1!C:D,2,0)</f>
        <v>音乐-8641</v>
      </c>
    </row>
    <row r="565" spans="1:8" x14ac:dyDescent="0.25">
      <c r="A565" t="s">
        <v>1196</v>
      </c>
      <c r="B565" t="s">
        <v>1197</v>
      </c>
      <c r="C565" t="s">
        <v>9</v>
      </c>
      <c r="E565" t="s">
        <v>10</v>
      </c>
      <c r="F565" t="s">
        <v>11</v>
      </c>
      <c r="G565">
        <v>5843</v>
      </c>
      <c r="H565" t="str">
        <f>VLOOKUP(B565,Sheet1!C:D,2,0)</f>
        <v>音乐-8815</v>
      </c>
    </row>
    <row r="566" spans="1:8" x14ac:dyDescent="0.25">
      <c r="A566" t="s">
        <v>305</v>
      </c>
      <c r="B566" t="s">
        <v>306</v>
      </c>
      <c r="C566" t="s">
        <v>9</v>
      </c>
      <c r="E566" t="s">
        <v>10</v>
      </c>
      <c r="F566" t="s">
        <v>11</v>
      </c>
      <c r="G566">
        <v>3968</v>
      </c>
      <c r="H566" t="str">
        <f>VLOOKUP(B566,Sheet1!C:D,2,0)</f>
        <v>云南卫视</v>
      </c>
    </row>
    <row r="567" spans="1:8" x14ac:dyDescent="0.25">
      <c r="A567" t="s">
        <v>651</v>
      </c>
      <c r="B567" t="s">
        <v>652</v>
      </c>
      <c r="C567" t="s">
        <v>9</v>
      </c>
      <c r="E567" t="s">
        <v>10</v>
      </c>
      <c r="F567" t="s">
        <v>11</v>
      </c>
      <c r="G567">
        <v>3943</v>
      </c>
      <c r="H567" t="str">
        <f>VLOOKUP(B567,Sheet1!C:D,2,0)</f>
        <v>云南卫视</v>
      </c>
    </row>
    <row r="568" spans="1:8" x14ac:dyDescent="0.25">
      <c r="A568" t="s">
        <v>108</v>
      </c>
      <c r="B568" t="s">
        <v>109</v>
      </c>
      <c r="C568" t="s">
        <v>9</v>
      </c>
      <c r="E568" t="s">
        <v>10</v>
      </c>
      <c r="F568" t="s">
        <v>11</v>
      </c>
      <c r="G568">
        <v>3928</v>
      </c>
      <c r="H568" t="str">
        <f>VLOOKUP(B568,Sheet1!C:D,2,0)</f>
        <v>浙江卫视</v>
      </c>
    </row>
    <row r="569" spans="1:8" x14ac:dyDescent="0.25">
      <c r="A569" t="s">
        <v>166</v>
      </c>
      <c r="B569" t="s">
        <v>167</v>
      </c>
      <c r="C569" t="s">
        <v>9</v>
      </c>
      <c r="E569" t="s">
        <v>10</v>
      </c>
      <c r="F569" t="s">
        <v>11</v>
      </c>
      <c r="G569">
        <v>3899</v>
      </c>
      <c r="H569" t="str">
        <f>VLOOKUP(B569,Sheet1!C:D,2,0)</f>
        <v>浙江卫视</v>
      </c>
    </row>
    <row r="570" spans="1:8" x14ac:dyDescent="0.25">
      <c r="A570" t="s">
        <v>224</v>
      </c>
      <c r="B570" t="s">
        <v>225</v>
      </c>
      <c r="C570" t="s">
        <v>9</v>
      </c>
      <c r="E570" t="s">
        <v>10</v>
      </c>
      <c r="F570" t="s">
        <v>11</v>
      </c>
      <c r="G570">
        <v>3923</v>
      </c>
      <c r="H570" t="str">
        <f>VLOOKUP(B570,Sheet1!C:D,2,0)</f>
        <v>浙江卫视</v>
      </c>
    </row>
    <row r="571" spans="1:8" x14ac:dyDescent="0.25">
      <c r="A571" t="s">
        <v>437</v>
      </c>
      <c r="B571" t="s">
        <v>438</v>
      </c>
      <c r="C571" t="s">
        <v>9</v>
      </c>
      <c r="E571" t="s">
        <v>10</v>
      </c>
      <c r="F571" t="s">
        <v>11</v>
      </c>
      <c r="G571">
        <v>3888</v>
      </c>
      <c r="H571" t="str">
        <f>VLOOKUP(B571,Sheet1!C:D,2,0)</f>
        <v>浙江卫视</v>
      </c>
    </row>
    <row r="572" spans="1:8" x14ac:dyDescent="0.25">
      <c r="A572" t="s">
        <v>501</v>
      </c>
      <c r="B572" t="s">
        <v>502</v>
      </c>
      <c r="C572" t="s">
        <v>9</v>
      </c>
      <c r="E572" t="s">
        <v>10</v>
      </c>
      <c r="F572" t="s">
        <v>11</v>
      </c>
      <c r="G572">
        <v>3840</v>
      </c>
      <c r="H572" t="str">
        <f>VLOOKUP(B572,Sheet1!C:D,2,0)</f>
        <v>浙江卫视</v>
      </c>
    </row>
    <row r="573" spans="1:8" x14ac:dyDescent="0.25">
      <c r="A573" t="s">
        <v>629</v>
      </c>
      <c r="B573" t="s">
        <v>630</v>
      </c>
      <c r="C573" t="s">
        <v>9</v>
      </c>
      <c r="E573" t="s">
        <v>10</v>
      </c>
      <c r="F573" t="s">
        <v>11</v>
      </c>
      <c r="G573">
        <v>3924</v>
      </c>
      <c r="H573" t="str">
        <f>VLOOKUP(B573,Sheet1!C:D,2,0)</f>
        <v>浙江卫视</v>
      </c>
    </row>
    <row r="574" spans="1:8" x14ac:dyDescent="0.25">
      <c r="A574" t="s">
        <v>675</v>
      </c>
      <c r="B574" t="s">
        <v>676</v>
      </c>
      <c r="C574" t="s">
        <v>9</v>
      </c>
      <c r="E574" t="s">
        <v>10</v>
      </c>
      <c r="F574" t="s">
        <v>11</v>
      </c>
      <c r="G574">
        <v>3925</v>
      </c>
      <c r="H574" t="str">
        <f>VLOOKUP(B574,Sheet1!C:D,2,0)</f>
        <v>浙江卫视</v>
      </c>
    </row>
    <row r="575" spans="1:8" x14ac:dyDescent="0.25">
      <c r="A575" t="s">
        <v>735</v>
      </c>
      <c r="B575" t="s">
        <v>736</v>
      </c>
      <c r="C575" t="s">
        <v>9</v>
      </c>
      <c r="E575" t="s">
        <v>10</v>
      </c>
      <c r="F575" t="s">
        <v>11</v>
      </c>
      <c r="G575">
        <v>3917</v>
      </c>
      <c r="H575" t="str">
        <f>VLOOKUP(B575,Sheet1!C:D,2,0)</f>
        <v>浙江卫视</v>
      </c>
    </row>
    <row r="576" spans="1:8" x14ac:dyDescent="0.25">
      <c r="A576" t="s">
        <v>715</v>
      </c>
      <c r="B576" t="s">
        <v>716</v>
      </c>
      <c r="C576" t="s">
        <v>9</v>
      </c>
      <c r="E576" t="s">
        <v>10</v>
      </c>
      <c r="F576" t="s">
        <v>11</v>
      </c>
      <c r="G576">
        <v>3965</v>
      </c>
      <c r="H576" t="str">
        <f>VLOOKUP(B576,Sheet1!C:D,2,0)</f>
        <v>镇江-1</v>
      </c>
    </row>
    <row r="577" spans="1:8" x14ac:dyDescent="0.25">
      <c r="A577" t="s">
        <v>146</v>
      </c>
      <c r="B577" t="s">
        <v>147</v>
      </c>
      <c r="C577" t="s">
        <v>9</v>
      </c>
      <c r="E577" t="s">
        <v>10</v>
      </c>
      <c r="F577" t="s">
        <v>11</v>
      </c>
      <c r="G577">
        <v>3835</v>
      </c>
      <c r="H577" t="str">
        <f>VLOOKUP(B577,Sheet1!C:D,2,0)</f>
        <v>镇江-2</v>
      </c>
    </row>
    <row r="578" spans="1:8" x14ac:dyDescent="0.25">
      <c r="A578" t="s">
        <v>679</v>
      </c>
      <c r="B578" t="s">
        <v>680</v>
      </c>
      <c r="C578" t="s">
        <v>9</v>
      </c>
      <c r="E578" t="s">
        <v>10</v>
      </c>
      <c r="F578" t="s">
        <v>11</v>
      </c>
      <c r="G578">
        <v>4022</v>
      </c>
      <c r="H578" t="str">
        <f>VLOOKUP(B578,Sheet1!C:D,2,0)</f>
        <v>镇江-3</v>
      </c>
    </row>
    <row r="579" spans="1:8" x14ac:dyDescent="0.25">
      <c r="A579" t="s">
        <v>255</v>
      </c>
      <c r="B579" t="s">
        <v>256</v>
      </c>
      <c r="C579" t="s">
        <v>9</v>
      </c>
      <c r="E579" t="s">
        <v>10</v>
      </c>
      <c r="F579" t="s">
        <v>11</v>
      </c>
      <c r="G579">
        <v>3971</v>
      </c>
      <c r="H579" t="str">
        <f>VLOOKUP(B579,Sheet1!C:D,2,0)</f>
        <v>中国功夫</v>
      </c>
    </row>
    <row r="580" spans="1:8" x14ac:dyDescent="0.25">
      <c r="A580" t="s">
        <v>283</v>
      </c>
      <c r="B580" t="s">
        <v>284</v>
      </c>
      <c r="C580" t="s">
        <v>9</v>
      </c>
      <c r="E580" t="s">
        <v>10</v>
      </c>
      <c r="F580" t="s">
        <v>11</v>
      </c>
      <c r="G580">
        <v>3933</v>
      </c>
      <c r="H580" t="str">
        <f>VLOOKUP(B580,Sheet1!C:D,2,0)</f>
        <v>重庆卫视</v>
      </c>
    </row>
    <row r="581" spans="1:8" x14ac:dyDescent="0.25">
      <c r="A581" t="s">
        <v>363</v>
      </c>
      <c r="B581" t="s">
        <v>364</v>
      </c>
      <c r="C581" t="s">
        <v>9</v>
      </c>
      <c r="E581" t="s">
        <v>10</v>
      </c>
      <c r="F581" t="s">
        <v>11</v>
      </c>
      <c r="G581">
        <v>3964</v>
      </c>
      <c r="H581" t="str">
        <f>VLOOKUP(B581,Sheet1!C:D,2,0)</f>
        <v>重庆卫视</v>
      </c>
    </row>
    <row r="582" spans="1:8" x14ac:dyDescent="0.25">
      <c r="A582" t="s">
        <v>485</v>
      </c>
      <c r="B582" t="s">
        <v>486</v>
      </c>
      <c r="C582" t="s">
        <v>9</v>
      </c>
      <c r="E582" t="s">
        <v>10</v>
      </c>
      <c r="F582" t="s">
        <v>11</v>
      </c>
      <c r="G582">
        <v>3906</v>
      </c>
      <c r="H582" t="str">
        <f>VLOOKUP(B582,Sheet1!C:D,2,0)</f>
        <v>重庆卫视</v>
      </c>
    </row>
    <row r="583" spans="1:8" x14ac:dyDescent="0.25">
      <c r="A583" t="s">
        <v>615</v>
      </c>
      <c r="B583" t="s">
        <v>616</v>
      </c>
      <c r="C583" t="s">
        <v>9</v>
      </c>
      <c r="E583" t="s">
        <v>10</v>
      </c>
      <c r="F583" t="s">
        <v>11</v>
      </c>
      <c r="G583">
        <v>3916</v>
      </c>
      <c r="H583" t="str">
        <f>VLOOKUP(B583,Sheet1!C:D,2,0)</f>
        <v>重庆卫视</v>
      </c>
    </row>
    <row r="584" spans="1:8" x14ac:dyDescent="0.25">
      <c r="A584" t="s">
        <v>1015</v>
      </c>
      <c r="B584" t="s">
        <v>1016</v>
      </c>
      <c r="C584" t="s">
        <v>9</v>
      </c>
      <c r="E584" t="s">
        <v>10</v>
      </c>
      <c r="F584" t="s">
        <v>11</v>
      </c>
      <c r="G584">
        <v>5018</v>
      </c>
      <c r="H584" t="str">
        <f>VLOOKUP(B584,Sheet1!C:D,2,0)</f>
        <v>重庆卫视</v>
      </c>
    </row>
    <row r="585" spans="1:8" x14ac:dyDescent="0.25">
      <c r="A585" t="s">
        <v>1075</v>
      </c>
      <c r="B585" t="s">
        <v>1076</v>
      </c>
      <c r="C585" t="s">
        <v>9</v>
      </c>
      <c r="E585" t="s">
        <v>1077</v>
      </c>
      <c r="F585" t="s">
        <v>11</v>
      </c>
      <c r="G585">
        <v>4325</v>
      </c>
      <c r="H585" t="str">
        <f>VLOOKUP(B585,Sheet1!C:D,2,0)</f>
        <v>电视剧-8687</v>
      </c>
    </row>
    <row r="586" spans="1:8" x14ac:dyDescent="0.25">
      <c r="A586" t="s">
        <v>2435</v>
      </c>
      <c r="B586" t="s">
        <v>2436</v>
      </c>
      <c r="C586" t="s">
        <v>9</v>
      </c>
      <c r="E586" t="s">
        <v>2419</v>
      </c>
      <c r="F586" t="s">
        <v>11</v>
      </c>
      <c r="G586">
        <v>8182</v>
      </c>
      <c r="H586" t="str">
        <f>VLOOKUP(B586,Sheet1!C:D,2,0)</f>
        <v>健身-8706</v>
      </c>
    </row>
    <row r="587" spans="1:8" x14ac:dyDescent="0.25">
      <c r="A587" t="s">
        <v>2445</v>
      </c>
      <c r="B587" t="s">
        <v>2440</v>
      </c>
      <c r="C587" t="s">
        <v>9</v>
      </c>
      <c r="E587" t="s">
        <v>2419</v>
      </c>
      <c r="F587" t="s">
        <v>11</v>
      </c>
      <c r="G587">
        <v>4882</v>
      </c>
      <c r="H587" t="str">
        <f>VLOOKUP(B587,Sheet1!C:D,2,0)</f>
        <v>南京北级阁直播</v>
      </c>
    </row>
    <row r="588" spans="1:8" x14ac:dyDescent="0.25">
      <c r="A588" t="s">
        <v>2442</v>
      </c>
      <c r="B588" t="s">
        <v>2438</v>
      </c>
      <c r="C588" t="s">
        <v>9</v>
      </c>
      <c r="E588" t="s">
        <v>2419</v>
      </c>
      <c r="F588" t="s">
        <v>11</v>
      </c>
      <c r="G588">
        <v>5342</v>
      </c>
      <c r="H588" t="str">
        <f>VLOOKUP(B588,Sheet1!C:D,2,0)</f>
        <v>南京南站直播</v>
      </c>
    </row>
    <row r="589" spans="1:8" x14ac:dyDescent="0.25">
      <c r="A589" t="s">
        <v>2443</v>
      </c>
      <c r="B589" t="s">
        <v>2437</v>
      </c>
      <c r="C589" t="s">
        <v>9</v>
      </c>
      <c r="E589" t="s">
        <v>2419</v>
      </c>
      <c r="F589" t="s">
        <v>11</v>
      </c>
      <c r="G589">
        <v>4967</v>
      </c>
      <c r="H589" t="str">
        <f>VLOOKUP(B589,Sheet1!C:D,2,0)</f>
        <v>南京新街口直播</v>
      </c>
    </row>
    <row r="590" spans="1:8" x14ac:dyDescent="0.25">
      <c r="A590" t="s">
        <v>2444</v>
      </c>
      <c r="B590" t="s">
        <v>2439</v>
      </c>
      <c r="C590" t="s">
        <v>9</v>
      </c>
      <c r="E590" t="s">
        <v>2419</v>
      </c>
      <c r="F590" t="s">
        <v>11</v>
      </c>
      <c r="G590">
        <v>4840</v>
      </c>
      <c r="H590" t="str">
        <f>VLOOKUP(B590,Sheet1!C:D,2,0)</f>
        <v>南京音乐台直播</v>
      </c>
    </row>
    <row r="591" spans="1:8" x14ac:dyDescent="0.25">
      <c r="A591" t="s">
        <v>781</v>
      </c>
      <c r="B591" t="s">
        <v>782</v>
      </c>
      <c r="C591" t="s">
        <v>9</v>
      </c>
      <c r="E591" t="s">
        <v>2421</v>
      </c>
      <c r="F591" t="s">
        <v>11</v>
      </c>
      <c r="G591">
        <v>3770</v>
      </c>
      <c r="H591" t="str">
        <f>VLOOKUP(B591,Sheet1!C:D,2,0)</f>
        <v>电视剧-8441</v>
      </c>
    </row>
    <row r="592" spans="1:8" x14ac:dyDescent="0.25">
      <c r="A592" t="s">
        <v>931</v>
      </c>
      <c r="B592" t="s">
        <v>932</v>
      </c>
      <c r="C592" t="s">
        <v>9</v>
      </c>
      <c r="E592" t="s">
        <v>2421</v>
      </c>
      <c r="F592" t="s">
        <v>11</v>
      </c>
      <c r="G592">
        <v>5348</v>
      </c>
      <c r="H592" t="str">
        <f>VLOOKUP(B592,Sheet1!C:D,2,0)</f>
        <v>电视剧-8604</v>
      </c>
    </row>
    <row r="593" spans="1:8" x14ac:dyDescent="0.25">
      <c r="A593" t="s">
        <v>1041</v>
      </c>
      <c r="B593" t="s">
        <v>1042</v>
      </c>
      <c r="C593" t="s">
        <v>9</v>
      </c>
      <c r="E593" t="s">
        <v>2421</v>
      </c>
      <c r="F593" t="s">
        <v>11</v>
      </c>
      <c r="G593">
        <v>5966</v>
      </c>
      <c r="H593" t="str">
        <f>VLOOKUP(B593,Sheet1!C:D,2,0)</f>
        <v>电视剧-8664</v>
      </c>
    </row>
    <row r="594" spans="1:8" x14ac:dyDescent="0.25">
      <c r="A594" t="s">
        <v>1112</v>
      </c>
      <c r="B594" t="s">
        <v>1113</v>
      </c>
      <c r="C594" t="s">
        <v>9</v>
      </c>
      <c r="E594" t="s">
        <v>2421</v>
      </c>
      <c r="F594" t="s">
        <v>11</v>
      </c>
      <c r="G594">
        <v>5651</v>
      </c>
      <c r="H594" t="str">
        <f>VLOOKUP(B594,Sheet1!C:D,2,0)</f>
        <v>电视剧-8719</v>
      </c>
    </row>
    <row r="595" spans="1:8" x14ac:dyDescent="0.25">
      <c r="A595" t="s">
        <v>2427</v>
      </c>
      <c r="B595" t="s">
        <v>2428</v>
      </c>
      <c r="C595" t="s">
        <v>9</v>
      </c>
      <c r="E595" t="s">
        <v>2421</v>
      </c>
      <c r="F595" t="s">
        <v>11</v>
      </c>
      <c r="G595">
        <v>4503</v>
      </c>
      <c r="H595" t="str">
        <f>VLOOKUP(B595,Sheet1!C:D,2,0)</f>
        <v>记录-8588</v>
      </c>
    </row>
    <row r="596" spans="1:8" x14ac:dyDescent="0.25">
      <c r="A596" t="s">
        <v>1108</v>
      </c>
      <c r="B596" t="s">
        <v>1109</v>
      </c>
      <c r="C596" t="s">
        <v>9</v>
      </c>
      <c r="E596" t="s">
        <v>2421</v>
      </c>
      <c r="F596" t="s">
        <v>11</v>
      </c>
      <c r="G596">
        <v>7958</v>
      </c>
      <c r="H596" t="str">
        <f>VLOOKUP(B596,Sheet1!C:D,2,0)</f>
        <v>记录-8717</v>
      </c>
    </row>
    <row r="597" spans="1:8" x14ac:dyDescent="0.25">
      <c r="A597" t="s">
        <v>2433</v>
      </c>
      <c r="B597" t="s">
        <v>2434</v>
      </c>
      <c r="C597" t="s">
        <v>9</v>
      </c>
      <c r="E597" t="s">
        <v>2421</v>
      </c>
      <c r="F597" t="s">
        <v>11</v>
      </c>
      <c r="G597">
        <v>8252</v>
      </c>
      <c r="H597" t="str">
        <f>VLOOKUP(B597,Sheet1!C:D,2,0)</f>
        <v>美妆-8703</v>
      </c>
    </row>
    <row r="598" spans="1:8" x14ac:dyDescent="0.25">
      <c r="A598" t="s">
        <v>2431</v>
      </c>
      <c r="B598" t="s">
        <v>2432</v>
      </c>
      <c r="C598" t="s">
        <v>9</v>
      </c>
      <c r="E598" t="s">
        <v>2421</v>
      </c>
      <c r="F598" t="s">
        <v>11</v>
      </c>
      <c r="G598">
        <v>6504</v>
      </c>
      <c r="H598" t="str">
        <f>VLOOKUP(B598,Sheet1!C:D,2,0)</f>
        <v>亲宝玩具-8638</v>
      </c>
    </row>
    <row r="599" spans="1:8" x14ac:dyDescent="0.25">
      <c r="A599" t="s">
        <v>811</v>
      </c>
      <c r="B599" t="s">
        <v>812</v>
      </c>
      <c r="C599" t="s">
        <v>9</v>
      </c>
      <c r="F599" t="s">
        <v>11</v>
      </c>
      <c r="G599">
        <v>4527</v>
      </c>
      <c r="H599" t="str">
        <f>VLOOKUP(B599,Sheet1!C:D,2,0)</f>
        <v>广播-8505</v>
      </c>
    </row>
    <row r="600" spans="1:8" x14ac:dyDescent="0.25">
      <c r="A600" t="s">
        <v>813</v>
      </c>
      <c r="B600" t="s">
        <v>814</v>
      </c>
      <c r="C600" t="s">
        <v>9</v>
      </c>
      <c r="F600" t="s">
        <v>11</v>
      </c>
      <c r="G600">
        <v>4562</v>
      </c>
      <c r="H600" t="str">
        <f>VLOOKUP(B600,Sheet1!C:D,2,0)</f>
        <v>广播-8508</v>
      </c>
    </row>
    <row r="601" spans="1:8" x14ac:dyDescent="0.25">
      <c r="A601" t="s">
        <v>815</v>
      </c>
      <c r="B601" t="s">
        <v>816</v>
      </c>
      <c r="C601" t="s">
        <v>9</v>
      </c>
      <c r="F601" t="s">
        <v>11</v>
      </c>
      <c r="G601">
        <v>4528</v>
      </c>
      <c r="H601" t="str">
        <f>VLOOKUP(B601,Sheet1!C:D,2,0)</f>
        <v>广播-8511</v>
      </c>
    </row>
    <row r="602" spans="1:8" x14ac:dyDescent="0.25">
      <c r="A602" t="s">
        <v>819</v>
      </c>
      <c r="B602" t="s">
        <v>820</v>
      </c>
      <c r="C602" t="s">
        <v>9</v>
      </c>
      <c r="F602" t="s">
        <v>11</v>
      </c>
      <c r="G602">
        <v>4527</v>
      </c>
      <c r="H602" t="str">
        <f>VLOOKUP(B602,Sheet1!C:D,2,0)</f>
        <v>广播-8514</v>
      </c>
    </row>
    <row r="603" spans="1:8" x14ac:dyDescent="0.25">
      <c r="A603" t="s">
        <v>823</v>
      </c>
      <c r="B603" t="s">
        <v>824</v>
      </c>
      <c r="C603" t="s">
        <v>9</v>
      </c>
      <c r="F603" t="s">
        <v>11</v>
      </c>
      <c r="G603">
        <v>4314</v>
      </c>
      <c r="H603" t="str">
        <f>VLOOKUP(B603,Sheet1!C:D,2,0)</f>
        <v>广播-8517</v>
      </c>
    </row>
    <row r="604" spans="1:8" x14ac:dyDescent="0.25">
      <c r="A604" t="s">
        <v>825</v>
      </c>
      <c r="B604" t="s">
        <v>826</v>
      </c>
      <c r="C604" t="s">
        <v>9</v>
      </c>
      <c r="F604" t="s">
        <v>11</v>
      </c>
      <c r="G604">
        <v>4540</v>
      </c>
      <c r="H604" t="str">
        <f>VLOOKUP(B604,Sheet1!C:D,2,0)</f>
        <v>广播-8519</v>
      </c>
    </row>
    <row r="605" spans="1:8" x14ac:dyDescent="0.25">
      <c r="A605" t="s">
        <v>827</v>
      </c>
      <c r="B605" t="s">
        <v>828</v>
      </c>
      <c r="C605" t="s">
        <v>9</v>
      </c>
      <c r="F605" t="s">
        <v>11</v>
      </c>
      <c r="G605">
        <v>4732</v>
      </c>
      <c r="H605" t="str">
        <f>VLOOKUP(B605,Sheet1!C:D,2,0)</f>
        <v>广播-8520</v>
      </c>
    </row>
    <row r="606" spans="1:8" x14ac:dyDescent="0.25">
      <c r="A606" t="s">
        <v>829</v>
      </c>
      <c r="B606" t="s">
        <v>830</v>
      </c>
      <c r="C606" t="s">
        <v>9</v>
      </c>
      <c r="F606" t="s">
        <v>11</v>
      </c>
      <c r="G606">
        <v>4373</v>
      </c>
      <c r="H606" t="str">
        <f>VLOOKUP(B606,Sheet1!C:D,2,0)</f>
        <v>广播-8522</v>
      </c>
    </row>
    <row r="607" spans="1:8" x14ac:dyDescent="0.25">
      <c r="A607" t="s">
        <v>831</v>
      </c>
      <c r="B607" t="s">
        <v>832</v>
      </c>
      <c r="C607" t="s">
        <v>9</v>
      </c>
      <c r="F607" t="s">
        <v>11</v>
      </c>
      <c r="G607">
        <v>4691</v>
      </c>
      <c r="H607" t="str">
        <f>VLOOKUP(B607,Sheet1!C:D,2,0)</f>
        <v>广播-8523</v>
      </c>
    </row>
    <row r="608" spans="1:8" x14ac:dyDescent="0.25">
      <c r="A608" t="s">
        <v>835</v>
      </c>
      <c r="B608" t="s">
        <v>836</v>
      </c>
      <c r="C608" t="s">
        <v>9</v>
      </c>
      <c r="F608" t="s">
        <v>11</v>
      </c>
      <c r="G608">
        <v>4572</v>
      </c>
      <c r="H608" t="str">
        <f>VLOOKUP(B608,Sheet1!C:D,2,0)</f>
        <v>广播-8525</v>
      </c>
    </row>
    <row r="609" spans="1:8" x14ac:dyDescent="0.25">
      <c r="A609" t="s">
        <v>837</v>
      </c>
      <c r="B609" t="s">
        <v>838</v>
      </c>
      <c r="C609" t="s">
        <v>9</v>
      </c>
      <c r="F609" t="s">
        <v>11</v>
      </c>
      <c r="G609">
        <v>4371</v>
      </c>
      <c r="H609" t="str">
        <f>VLOOKUP(B609,Sheet1!C:D,2,0)</f>
        <v>广播-8526</v>
      </c>
    </row>
    <row r="610" spans="1:8" x14ac:dyDescent="0.25">
      <c r="A610" t="s">
        <v>841</v>
      </c>
      <c r="B610" t="s">
        <v>842</v>
      </c>
      <c r="C610" t="s">
        <v>9</v>
      </c>
      <c r="F610" t="s">
        <v>11</v>
      </c>
      <c r="G610">
        <v>4570</v>
      </c>
      <c r="H610" t="str">
        <f>VLOOKUP(B610,Sheet1!C:D,2,0)</f>
        <v>广播-8528</v>
      </c>
    </row>
    <row r="611" spans="1:8" x14ac:dyDescent="0.25">
      <c r="A611" t="s">
        <v>843</v>
      </c>
      <c r="B611" t="s">
        <v>844</v>
      </c>
      <c r="C611" t="s">
        <v>9</v>
      </c>
      <c r="F611" t="s">
        <v>11</v>
      </c>
      <c r="G611">
        <v>4376</v>
      </c>
      <c r="H611" t="str">
        <f>VLOOKUP(B611,Sheet1!C:D,2,0)</f>
        <v>广播-8529</v>
      </c>
    </row>
    <row r="612" spans="1:8" x14ac:dyDescent="0.25">
      <c r="A612" t="s">
        <v>849</v>
      </c>
      <c r="B612" t="s">
        <v>850</v>
      </c>
      <c r="C612" t="s">
        <v>9</v>
      </c>
      <c r="F612" t="s">
        <v>11</v>
      </c>
      <c r="G612">
        <v>4546</v>
      </c>
      <c r="H612" t="str">
        <f>VLOOKUP(B612,Sheet1!C:D,2,0)</f>
        <v>广播-8531</v>
      </c>
    </row>
    <row r="613" spans="1:8" x14ac:dyDescent="0.25">
      <c r="A613" t="s">
        <v>847</v>
      </c>
      <c r="B613" t="s">
        <v>848</v>
      </c>
      <c r="C613" t="s">
        <v>9</v>
      </c>
      <c r="F613" t="s">
        <v>11</v>
      </c>
      <c r="G613">
        <v>4384</v>
      </c>
      <c r="H613" t="str">
        <f>VLOOKUP(B613,Sheet1!C:D,2,0)</f>
        <v>广播-8532</v>
      </c>
    </row>
    <row r="614" spans="1:8" x14ac:dyDescent="0.25">
      <c r="A614" t="s">
        <v>851</v>
      </c>
      <c r="B614" t="s">
        <v>852</v>
      </c>
      <c r="C614" t="s">
        <v>9</v>
      </c>
      <c r="F614" t="s">
        <v>11</v>
      </c>
      <c r="G614">
        <v>4567</v>
      </c>
      <c r="H614" t="str">
        <f>VLOOKUP(B614,Sheet1!C:D,2,0)</f>
        <v>广播-8534</v>
      </c>
    </row>
    <row r="615" spans="1:8" x14ac:dyDescent="0.25">
      <c r="A615" t="s">
        <v>855</v>
      </c>
      <c r="B615" t="s">
        <v>856</v>
      </c>
      <c r="C615" t="s">
        <v>9</v>
      </c>
      <c r="F615" t="s">
        <v>11</v>
      </c>
      <c r="G615">
        <v>4545</v>
      </c>
      <c r="H615" t="str">
        <f>VLOOKUP(B615,Sheet1!C:D,2,0)</f>
        <v>广播-8535</v>
      </c>
    </row>
    <row r="616" spans="1:8" x14ac:dyDescent="0.25">
      <c r="A616" t="s">
        <v>859</v>
      </c>
      <c r="B616" t="s">
        <v>860</v>
      </c>
      <c r="C616" t="s">
        <v>9</v>
      </c>
      <c r="F616" t="s">
        <v>11</v>
      </c>
      <c r="G616">
        <v>4784</v>
      </c>
      <c r="H616" t="str">
        <f>VLOOKUP(B616,Sheet1!C:D,2,0)</f>
        <v>广播-8537</v>
      </c>
    </row>
    <row r="617" spans="1:8" x14ac:dyDescent="0.25">
      <c r="A617" t="s">
        <v>861</v>
      </c>
      <c r="B617" t="s">
        <v>862</v>
      </c>
      <c r="C617" t="s">
        <v>9</v>
      </c>
      <c r="F617" t="s">
        <v>11</v>
      </c>
      <c r="G617">
        <v>4330</v>
      </c>
      <c r="H617" t="str">
        <f>VLOOKUP(B617,Sheet1!C:D,2,0)</f>
        <v>广播-8540</v>
      </c>
    </row>
    <row r="618" spans="1:8" x14ac:dyDescent="0.25">
      <c r="A618" t="s">
        <v>863</v>
      </c>
      <c r="B618" t="s">
        <v>864</v>
      </c>
      <c r="C618" t="s">
        <v>9</v>
      </c>
      <c r="F618" t="s">
        <v>11</v>
      </c>
      <c r="G618">
        <v>4375</v>
      </c>
      <c r="H618" t="str">
        <f>VLOOKUP(B618,Sheet1!C:D,2,0)</f>
        <v>广播-8541</v>
      </c>
    </row>
    <row r="619" spans="1:8" x14ac:dyDescent="0.25">
      <c r="A619" t="s">
        <v>865</v>
      </c>
      <c r="B619" t="s">
        <v>866</v>
      </c>
      <c r="C619" t="s">
        <v>9</v>
      </c>
      <c r="F619" t="s">
        <v>11</v>
      </c>
      <c r="G619">
        <v>4761</v>
      </c>
      <c r="H619" t="str">
        <f>VLOOKUP(B619,Sheet1!C:D,2,0)</f>
        <v>广播-8543</v>
      </c>
    </row>
    <row r="620" spans="1:8" x14ac:dyDescent="0.25">
      <c r="A620" t="s">
        <v>867</v>
      </c>
      <c r="B620" t="s">
        <v>868</v>
      </c>
      <c r="C620" t="s">
        <v>9</v>
      </c>
      <c r="F620" t="s">
        <v>11</v>
      </c>
      <c r="G620">
        <v>4809</v>
      </c>
      <c r="H620" t="str">
        <f>VLOOKUP(B620,Sheet1!C:D,2,0)</f>
        <v>广播-8544</v>
      </c>
    </row>
    <row r="621" spans="1:8" x14ac:dyDescent="0.25">
      <c r="A621" t="s">
        <v>869</v>
      </c>
      <c r="B621" t="s">
        <v>870</v>
      </c>
      <c r="C621" t="s">
        <v>9</v>
      </c>
      <c r="F621" t="s">
        <v>11</v>
      </c>
      <c r="G621">
        <v>4756</v>
      </c>
      <c r="H621" t="str">
        <f>VLOOKUP(B621,Sheet1!C:D,2,0)</f>
        <v>广播-8546</v>
      </c>
    </row>
    <row r="622" spans="1:8" x14ac:dyDescent="0.25">
      <c r="A622" t="s">
        <v>871</v>
      </c>
      <c r="B622" t="s">
        <v>872</v>
      </c>
      <c r="C622" t="s">
        <v>9</v>
      </c>
      <c r="F622" t="s">
        <v>11</v>
      </c>
      <c r="G622">
        <v>4727</v>
      </c>
      <c r="H622" t="str">
        <f>VLOOKUP(B622,Sheet1!C:D,2,0)</f>
        <v>广播-8547</v>
      </c>
    </row>
    <row r="623" spans="1:8" x14ac:dyDescent="0.25">
      <c r="A623" t="s">
        <v>873</v>
      </c>
      <c r="B623" t="s">
        <v>874</v>
      </c>
      <c r="C623" t="s">
        <v>9</v>
      </c>
      <c r="F623" t="s">
        <v>11</v>
      </c>
      <c r="G623">
        <v>4841</v>
      </c>
      <c r="H623" t="str">
        <f>VLOOKUP(B623,Sheet1!C:D,2,0)</f>
        <v>广播-8549</v>
      </c>
    </row>
    <row r="624" spans="1:8" x14ac:dyDescent="0.25">
      <c r="A624" t="s">
        <v>877</v>
      </c>
      <c r="B624" t="s">
        <v>878</v>
      </c>
      <c r="C624" t="s">
        <v>9</v>
      </c>
      <c r="F624" t="s">
        <v>11</v>
      </c>
      <c r="G624">
        <v>4716</v>
      </c>
      <c r="H624" t="str">
        <f>VLOOKUP(B624,Sheet1!C:D,2,0)</f>
        <v>广播-8552</v>
      </c>
    </row>
    <row r="625" spans="1:8" x14ac:dyDescent="0.25">
      <c r="A625" t="s">
        <v>879</v>
      </c>
      <c r="B625" t="s">
        <v>880</v>
      </c>
      <c r="C625" t="s">
        <v>9</v>
      </c>
      <c r="F625" t="s">
        <v>11</v>
      </c>
      <c r="G625">
        <v>4388</v>
      </c>
      <c r="H625" t="str">
        <f>VLOOKUP(B625,Sheet1!C:D,2,0)</f>
        <v>广播-8555</v>
      </c>
    </row>
    <row r="626" spans="1:8" x14ac:dyDescent="0.25">
      <c r="A626" t="s">
        <v>881</v>
      </c>
      <c r="B626" t="s">
        <v>882</v>
      </c>
      <c r="C626" t="s">
        <v>9</v>
      </c>
      <c r="F626" t="s">
        <v>11</v>
      </c>
      <c r="G626">
        <v>4377</v>
      </c>
      <c r="H626" t="str">
        <f>VLOOKUP(B626,Sheet1!C:D,2,0)</f>
        <v>广播-8558</v>
      </c>
    </row>
    <row r="627" spans="1:8" x14ac:dyDescent="0.25">
      <c r="A627" t="s">
        <v>887</v>
      </c>
      <c r="B627" t="s">
        <v>888</v>
      </c>
      <c r="C627" t="s">
        <v>9</v>
      </c>
      <c r="F627" t="s">
        <v>11</v>
      </c>
      <c r="G627">
        <v>4405</v>
      </c>
      <c r="H627" t="str">
        <f>VLOOKUP(B627,Sheet1!C:D,2,0)</f>
        <v>广播-8561</v>
      </c>
    </row>
    <row r="628" spans="1:8" x14ac:dyDescent="0.25">
      <c r="A628" t="s">
        <v>891</v>
      </c>
      <c r="B628" t="s">
        <v>892</v>
      </c>
      <c r="C628" t="s">
        <v>9</v>
      </c>
      <c r="F628" t="s">
        <v>11</v>
      </c>
      <c r="G628">
        <v>4556</v>
      </c>
      <c r="H628" t="str">
        <f>VLOOKUP(B628,Sheet1!C:D,2,0)</f>
        <v>广播-8564</v>
      </c>
    </row>
    <row r="629" spans="1:8" x14ac:dyDescent="0.25">
      <c r="A629" t="s">
        <v>893</v>
      </c>
      <c r="B629" t="s">
        <v>894</v>
      </c>
      <c r="C629" t="s">
        <v>9</v>
      </c>
      <c r="F629" t="s">
        <v>11</v>
      </c>
      <c r="G629">
        <v>4330</v>
      </c>
      <c r="H629" t="str">
        <f>VLOOKUP(B629,Sheet1!C:D,2,0)</f>
        <v>广播-8567</v>
      </c>
    </row>
    <row r="630" spans="1:8" x14ac:dyDescent="0.25">
      <c r="A630" t="s">
        <v>897</v>
      </c>
      <c r="B630" t="s">
        <v>898</v>
      </c>
      <c r="C630" t="s">
        <v>9</v>
      </c>
      <c r="F630" t="s">
        <v>11</v>
      </c>
      <c r="G630">
        <v>4313</v>
      </c>
      <c r="H630" t="str">
        <f>VLOOKUP(B630,Sheet1!C:D,2,0)</f>
        <v>广播-8570</v>
      </c>
    </row>
    <row r="631" spans="1:8" x14ac:dyDescent="0.25">
      <c r="A631" t="s">
        <v>911</v>
      </c>
      <c r="B631" t="s">
        <v>912</v>
      </c>
      <c r="C631" t="s">
        <v>9</v>
      </c>
      <c r="F631" t="s">
        <v>11</v>
      </c>
      <c r="G631">
        <v>4512</v>
      </c>
      <c r="H631" t="str">
        <f>VLOOKUP(B631,Sheet1!C:D,2,0)</f>
        <v>广播-8587</v>
      </c>
    </row>
    <row r="632" spans="1:8" x14ac:dyDescent="0.25">
      <c r="A632" t="s">
        <v>917</v>
      </c>
      <c r="B632" t="s">
        <v>918</v>
      </c>
      <c r="C632" t="s">
        <v>9</v>
      </c>
      <c r="F632" t="s">
        <v>11</v>
      </c>
      <c r="G632">
        <v>4536</v>
      </c>
      <c r="H632" t="str">
        <f>VLOOKUP(B632,Sheet1!C:D,2,0)</f>
        <v>广播-8590</v>
      </c>
    </row>
    <row r="633" spans="1:8" x14ac:dyDescent="0.25">
      <c r="A633" t="s">
        <v>921</v>
      </c>
      <c r="B633" t="s">
        <v>922</v>
      </c>
      <c r="C633" t="s">
        <v>9</v>
      </c>
      <c r="F633" t="s">
        <v>11</v>
      </c>
      <c r="G633">
        <v>4514</v>
      </c>
      <c r="H633" t="str">
        <f>VLOOKUP(B633,Sheet1!C:D,2,0)</f>
        <v>广播-8593</v>
      </c>
    </row>
    <row r="634" spans="1:8" x14ac:dyDescent="0.25">
      <c r="A634" t="s">
        <v>923</v>
      </c>
      <c r="B634" t="s">
        <v>924</v>
      </c>
      <c r="C634" t="s">
        <v>9</v>
      </c>
      <c r="F634" t="s">
        <v>11</v>
      </c>
      <c r="G634">
        <v>4553</v>
      </c>
      <c r="H634" t="str">
        <f>VLOOKUP(B634,Sheet1!C:D,2,0)</f>
        <v>广播-8596</v>
      </c>
    </row>
    <row r="635" spans="1:8" x14ac:dyDescent="0.25">
      <c r="A635" t="s">
        <v>929</v>
      </c>
      <c r="B635" t="s">
        <v>930</v>
      </c>
      <c r="C635" t="s">
        <v>9</v>
      </c>
      <c r="F635" t="s">
        <v>11</v>
      </c>
      <c r="G635">
        <v>4812</v>
      </c>
      <c r="H635" t="str">
        <f>VLOOKUP(B635,Sheet1!C:D,2,0)</f>
        <v>广播-8599</v>
      </c>
    </row>
    <row r="636" spans="1:8" x14ac:dyDescent="0.25">
      <c r="A636" t="s">
        <v>935</v>
      </c>
      <c r="B636" t="s">
        <v>936</v>
      </c>
      <c r="C636" t="s">
        <v>9</v>
      </c>
      <c r="F636" t="s">
        <v>11</v>
      </c>
      <c r="G636">
        <v>4726</v>
      </c>
      <c r="H636" t="str">
        <f>VLOOKUP(B636,Sheet1!C:D,2,0)</f>
        <v>广播-8602</v>
      </c>
    </row>
    <row r="637" spans="1:8" x14ac:dyDescent="0.25">
      <c r="A637" t="s">
        <v>937</v>
      </c>
      <c r="B637" t="s">
        <v>938</v>
      </c>
      <c r="C637" t="s">
        <v>9</v>
      </c>
      <c r="F637" t="s">
        <v>11</v>
      </c>
      <c r="G637">
        <v>4826</v>
      </c>
      <c r="H637" t="str">
        <f>VLOOKUP(B637,Sheet1!C:D,2,0)</f>
        <v>广播-8605</v>
      </c>
    </row>
    <row r="638" spans="1:8" x14ac:dyDescent="0.25">
      <c r="A638" t="s">
        <v>943</v>
      </c>
      <c r="B638" t="s">
        <v>944</v>
      </c>
      <c r="C638" t="s">
        <v>9</v>
      </c>
      <c r="F638" t="s">
        <v>11</v>
      </c>
      <c r="G638">
        <v>4748</v>
      </c>
      <c r="H638" t="str">
        <f>VLOOKUP(B638,Sheet1!C:D,2,0)</f>
        <v>广播-8608</v>
      </c>
    </row>
    <row r="639" spans="1:8" x14ac:dyDescent="0.25">
      <c r="A639" t="s">
        <v>947</v>
      </c>
      <c r="B639" t="s">
        <v>948</v>
      </c>
      <c r="C639" t="s">
        <v>9</v>
      </c>
      <c r="F639" t="s">
        <v>11</v>
      </c>
      <c r="G639">
        <v>4752</v>
      </c>
      <c r="H639" t="str">
        <f>VLOOKUP(B639,Sheet1!C:D,2,0)</f>
        <v>广播-8611</v>
      </c>
    </row>
    <row r="640" spans="1:8" x14ac:dyDescent="0.25">
      <c r="A640" t="s">
        <v>951</v>
      </c>
      <c r="B640" t="s">
        <v>952</v>
      </c>
      <c r="C640" t="s">
        <v>9</v>
      </c>
      <c r="F640" t="s">
        <v>11</v>
      </c>
      <c r="G640">
        <v>4758</v>
      </c>
      <c r="H640" t="str">
        <f>VLOOKUP(B640,Sheet1!C:D,2,0)</f>
        <v>广播-8614</v>
      </c>
    </row>
    <row r="641" spans="1:8" x14ac:dyDescent="0.25">
      <c r="A641" t="s">
        <v>959</v>
      </c>
      <c r="B641" t="s">
        <v>960</v>
      </c>
      <c r="C641" t="s">
        <v>9</v>
      </c>
      <c r="F641" t="s">
        <v>11</v>
      </c>
      <c r="G641">
        <v>4802</v>
      </c>
      <c r="H641" t="str">
        <f>VLOOKUP(B641,Sheet1!C:D,2,0)</f>
        <v>广播-8617</v>
      </c>
    </row>
    <row r="642" spans="1:8" x14ac:dyDescent="0.25">
      <c r="A642" t="s">
        <v>965</v>
      </c>
      <c r="B642" t="s">
        <v>966</v>
      </c>
      <c r="C642" t="s">
        <v>9</v>
      </c>
      <c r="F642" t="s">
        <v>11</v>
      </c>
      <c r="G642">
        <v>4383</v>
      </c>
      <c r="H642" t="str">
        <f>VLOOKUP(B642,Sheet1!C:D,2,0)</f>
        <v>广播-8620</v>
      </c>
    </row>
    <row r="643" spans="1:8" x14ac:dyDescent="0.25">
      <c r="A643" t="s">
        <v>973</v>
      </c>
      <c r="B643" t="s">
        <v>974</v>
      </c>
      <c r="C643" t="s">
        <v>9</v>
      </c>
      <c r="F643" t="s">
        <v>11</v>
      </c>
      <c r="G643">
        <v>4352</v>
      </c>
      <c r="H643" t="str">
        <f>VLOOKUP(B643,Sheet1!C:D,2,0)</f>
        <v>广播-8623</v>
      </c>
    </row>
  </sheetData>
  <sortState xmlns:xlrd2="http://schemas.microsoft.com/office/spreadsheetml/2017/richdata2" ref="A2:H643">
    <sortCondition descending="1" ref="E4:E643"/>
  </sortState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BABD-9ED8-42FB-A708-FF477BC3FD29}">
  <dimension ref="A1:D1149"/>
  <sheetViews>
    <sheetView topLeftCell="A1141" workbookViewId="0">
      <selection activeCell="C1147" sqref="C1147"/>
    </sheetView>
  </sheetViews>
  <sheetFormatPr defaultRowHeight="14" x14ac:dyDescent="0.25"/>
  <cols>
    <col min="1" max="1" width="52.6328125" customWidth="1"/>
    <col min="3" max="3" width="87.6328125" customWidth="1"/>
  </cols>
  <sheetData>
    <row r="1" spans="1:4" x14ac:dyDescent="0.25">
      <c r="A1" t="s">
        <v>2024</v>
      </c>
      <c r="B1">
        <f>FIND(",",A1)</f>
        <v>6</v>
      </c>
      <c r="C1" t="str">
        <f>MID(A1,B1+1,LEN(A1)-B1)</f>
        <v>http://[2409:8087:1e01:20::3]/PLTV/11/224/3221225636/1.m3u8</v>
      </c>
      <c r="D1" t="str">
        <f>LEFT(A1,B1-1)</f>
        <v>咪视界-1</v>
      </c>
    </row>
    <row r="2" spans="1:4" x14ac:dyDescent="0.25">
      <c r="A2" t="s">
        <v>2025</v>
      </c>
      <c r="B2">
        <f>FIND(",",A2)</f>
        <v>6</v>
      </c>
      <c r="C2" t="str">
        <f>MID(A2,B2+1,LEN(A2)-B2)</f>
        <v>http://[2409:8087:1e01:20::3]/PLTV/11/224/3221225637/1.m3u8</v>
      </c>
      <c r="D2" t="str">
        <f>LEFT(A2,B2-1)</f>
        <v>咪视界-2</v>
      </c>
    </row>
    <row r="3" spans="1:4" x14ac:dyDescent="0.25">
      <c r="A3" t="s">
        <v>2026</v>
      </c>
      <c r="B3">
        <f>FIND(",",A3)</f>
        <v>6</v>
      </c>
      <c r="C3" t="str">
        <f>MID(A3,B3+1,LEN(A3)-B3)</f>
        <v>http://[2409:8087:1e01:20::3]/PLTV/11/224/3221225638/1.m3u8</v>
      </c>
      <c r="D3" t="str">
        <f>LEFT(A3,B3-1)</f>
        <v>咪视界-3</v>
      </c>
    </row>
    <row r="4" spans="1:4" x14ac:dyDescent="0.25">
      <c r="A4" t="s">
        <v>2027</v>
      </c>
      <c r="B4">
        <f>FIND(",",A4)</f>
        <v>6</v>
      </c>
      <c r="C4" t="str">
        <f>MID(A4,B4+1,LEN(A4)-B4)</f>
        <v>http://[2409:8087:1e01:20::3]/PLTV/11/224/3221225639/1.m3u8</v>
      </c>
      <c r="D4" t="str">
        <f>LEFT(A4,B4-1)</f>
        <v>咪视界-4</v>
      </c>
    </row>
    <row r="5" spans="1:4" x14ac:dyDescent="0.25">
      <c r="A5" t="s">
        <v>2028</v>
      </c>
      <c r="B5">
        <f>FIND(",",A5)</f>
        <v>6</v>
      </c>
      <c r="C5" t="str">
        <f>MID(A5,B5+1,LEN(A5)-B5)</f>
        <v>http://[2409:8087:1e01:20::3]/PLTV/11/224/3221225640/1.m3u8</v>
      </c>
      <c r="D5" t="str">
        <f>LEFT(A5,B5-1)</f>
        <v>咪视界-5</v>
      </c>
    </row>
    <row r="6" spans="1:4" x14ac:dyDescent="0.25">
      <c r="A6" t="s">
        <v>2029</v>
      </c>
      <c r="B6">
        <f>FIND(",",A6)</f>
        <v>6</v>
      </c>
      <c r="C6" t="str">
        <f>MID(A6,B6+1,LEN(A6)-B6)</f>
        <v>http://[2409:8087:1e01:20::3]/PLTV/11/224/3221225641/1.m3u8</v>
      </c>
      <c r="D6" t="str">
        <f>LEFT(A6,B6-1)</f>
        <v>咪视界-6</v>
      </c>
    </row>
    <row r="7" spans="1:4" x14ac:dyDescent="0.25">
      <c r="A7" t="s">
        <v>2030</v>
      </c>
      <c r="B7">
        <f>FIND(",",A7)</f>
        <v>6</v>
      </c>
      <c r="C7" t="str">
        <f>MID(A7,B7+1,LEN(A7)-B7)</f>
        <v>http://[2409:8087:1e01:20::3]/PLTV/11/224/3221225643/1.m3u8</v>
      </c>
      <c r="D7" t="str">
        <f>LEFT(A7,B7-1)</f>
        <v>咪视界-7</v>
      </c>
    </row>
    <row r="8" spans="1:4" x14ac:dyDescent="0.25">
      <c r="A8" t="s">
        <v>2031</v>
      </c>
      <c r="B8">
        <f>FIND(",",A8)</f>
        <v>6</v>
      </c>
      <c r="C8" t="str">
        <f>MID(A8,B8+1,LEN(A8)-B8)</f>
        <v>http://[2409:8087:1e01:20::3]/PLTV/11/224/3221225644/1.m3u8</v>
      </c>
      <c r="D8" t="str">
        <f>LEFT(A8,B8-1)</f>
        <v>咪视界-8</v>
      </c>
    </row>
    <row r="9" spans="1:4" x14ac:dyDescent="0.25">
      <c r="A9" t="s">
        <v>2032</v>
      </c>
      <c r="B9">
        <f>FIND(",",A9)</f>
        <v>6</v>
      </c>
      <c r="C9" t="str">
        <f>MID(A9,B9+1,LEN(A9)-B9)</f>
        <v>http://[2409:8087:1e01:20::3]/PLTV/11/224/3221225646/1.m3u8</v>
      </c>
      <c r="D9" t="str">
        <f>LEFT(A9,B9-1)</f>
        <v>咪视界-9</v>
      </c>
    </row>
    <row r="10" spans="1:4" x14ac:dyDescent="0.25">
      <c r="A10" t="s">
        <v>2033</v>
      </c>
      <c r="B10">
        <f>FIND(",",A10)</f>
        <v>7</v>
      </c>
      <c r="C10" t="str">
        <f>MID(A10,B10+1,LEN(A10)-B10)</f>
        <v>http://[2409:8087:1e01:20::3]/PLTV/11/224/3221225657/1.m3u8</v>
      </c>
      <c r="D10" t="str">
        <f>LEFT(A10,B10-1)</f>
        <v>咪视界-10</v>
      </c>
    </row>
    <row r="11" spans="1:4" x14ac:dyDescent="0.25">
      <c r="A11" t="s">
        <v>2405</v>
      </c>
      <c r="B11">
        <f>FIND(",",A11)</f>
        <v>8</v>
      </c>
      <c r="C11" t="str">
        <f>MID(A11,B11+1,LEN(A11)-B11)</f>
        <v>http://[2409:8087:1e01:20::3]/PLTV/11/224/3221225663/1.m3u8</v>
      </c>
      <c r="D11" t="str">
        <f>LEFT(A11,B11-1)</f>
        <v>BesTV-1</v>
      </c>
    </row>
    <row r="12" spans="1:4" x14ac:dyDescent="0.25">
      <c r="A12" t="s">
        <v>2406</v>
      </c>
      <c r="B12">
        <f>FIND(",",A12)</f>
        <v>8</v>
      </c>
      <c r="C12" t="str">
        <f>MID(A12,B12+1,LEN(A12)-B12)</f>
        <v>http://[2409:8087:1e01:20::3]/PLTV/11/224/3221225664/1.m3u8</v>
      </c>
      <c r="D12" t="str">
        <f>LEFT(A12,B12-1)</f>
        <v>BesTV-2</v>
      </c>
    </row>
    <row r="13" spans="1:4" x14ac:dyDescent="0.25">
      <c r="A13" t="s">
        <v>2407</v>
      </c>
      <c r="B13">
        <f>FIND(",",A13)</f>
        <v>8</v>
      </c>
      <c r="C13" t="str">
        <f>MID(A13,B13+1,LEN(A13)-B13)</f>
        <v>http://[2409:8087:1e01:20::3]/PLTV/11/224/3221225665/1.m3u8</v>
      </c>
      <c r="D13" t="str">
        <f>LEFT(A13,B13-1)</f>
        <v>BesTV-3</v>
      </c>
    </row>
    <row r="14" spans="1:4" x14ac:dyDescent="0.25">
      <c r="A14" t="s">
        <v>2408</v>
      </c>
      <c r="B14">
        <f>FIND(",",A14)</f>
        <v>8</v>
      </c>
      <c r="C14" t="str">
        <f>MID(A14,B14+1,LEN(A14)-B14)</f>
        <v>http://[2409:8087:1e01:20::3]/PLTV/11/224/3221225666/1.m3u8</v>
      </c>
      <c r="D14" t="str">
        <f>LEFT(A14,B14-1)</f>
        <v>BesTV-4</v>
      </c>
    </row>
    <row r="15" spans="1:4" x14ac:dyDescent="0.25">
      <c r="A15" t="s">
        <v>2409</v>
      </c>
      <c r="B15">
        <f>FIND(",",A15)</f>
        <v>8</v>
      </c>
      <c r="C15" t="str">
        <f>MID(A15,B15+1,LEN(A15)-B15)</f>
        <v>http://[2409:8087:1e01:20::3]/PLTV/11/224/3221225667/1.m3u8</v>
      </c>
      <c r="D15" t="str">
        <f>LEFT(A15,B15-1)</f>
        <v>BesTV-5</v>
      </c>
    </row>
    <row r="16" spans="1:4" x14ac:dyDescent="0.25">
      <c r="A16" t="s">
        <v>2410</v>
      </c>
      <c r="B16">
        <f>FIND(",",A16)</f>
        <v>8</v>
      </c>
      <c r="C16" t="str">
        <f>MID(A16,B16+1,LEN(A16)-B16)</f>
        <v>http://[2409:8087:1e01:20::3]/PLTV/11/224/3221225669/1.m3u8</v>
      </c>
      <c r="D16" t="str">
        <f>LEFT(A16,B16-1)</f>
        <v>BesTV-6</v>
      </c>
    </row>
    <row r="17" spans="1:4" x14ac:dyDescent="0.25">
      <c r="A17" t="s">
        <v>2411</v>
      </c>
      <c r="B17">
        <f>FIND(",",A17)</f>
        <v>8</v>
      </c>
      <c r="C17" t="str">
        <f>MID(A17,B17+1,LEN(A17)-B17)</f>
        <v>http://[2409:8087:1e01:20::3]/PLTV/11/224/3221225670/1.m3u8</v>
      </c>
      <c r="D17" t="str">
        <f>LEFT(A17,B17-1)</f>
        <v>BesTV-7</v>
      </c>
    </row>
    <row r="18" spans="1:4" x14ac:dyDescent="0.25">
      <c r="A18" t="s">
        <v>2412</v>
      </c>
      <c r="B18">
        <f>FIND(",",A18)</f>
        <v>8</v>
      </c>
      <c r="C18" t="str">
        <f>MID(A18,B18+1,LEN(A18)-B18)</f>
        <v>http://[2409:8087:1e01:20::3]/PLTV/11/224/3221225671/1.m3u8</v>
      </c>
      <c r="D18" t="str">
        <f>LEFT(A18,B18-1)</f>
        <v>BesTV-8</v>
      </c>
    </row>
    <row r="19" spans="1:4" x14ac:dyDescent="0.25">
      <c r="A19" t="s">
        <v>1950</v>
      </c>
      <c r="B19">
        <f>FIND(",",A19)</f>
        <v>7</v>
      </c>
      <c r="C19" t="str">
        <f>MID(A19,B19+1,LEN(A19)-B19)</f>
        <v>http://[2409:8087:1e01:20::3]/PLTV/11/224/3221225673/1.m3u8</v>
      </c>
      <c r="D19" t="str">
        <f>LEFT(A19,B19-1)</f>
        <v>CCTV-1</v>
      </c>
    </row>
    <row r="20" spans="1:4" x14ac:dyDescent="0.25">
      <c r="A20" t="s">
        <v>2034</v>
      </c>
      <c r="B20">
        <f>FIND(",",A20)</f>
        <v>7</v>
      </c>
      <c r="C20" t="str">
        <f>MID(A20,B20+1,LEN(A20)-B20)</f>
        <v>http://[2409:8087:1e01:20::3]/PLTV/11/224/3221225674/1.m3u8</v>
      </c>
      <c r="D20" t="str">
        <f>LEFT(A20,B20-1)</f>
        <v>咪视界-11</v>
      </c>
    </row>
    <row r="21" spans="1:4" x14ac:dyDescent="0.25">
      <c r="A21" t="s">
        <v>2035</v>
      </c>
      <c r="B21">
        <f>FIND(",",A21)</f>
        <v>7</v>
      </c>
      <c r="C21" t="str">
        <f>MID(A21,B21+1,LEN(A21)-B21)</f>
        <v>http://[2409:8087:1e01:20::3]/PLTV/11/224/3221225676/1.m3u8</v>
      </c>
      <c r="D21" t="str">
        <f>LEFT(A21,B21-1)</f>
        <v>咪视界-12</v>
      </c>
    </row>
    <row r="22" spans="1:4" x14ac:dyDescent="0.25">
      <c r="A22" t="s">
        <v>2036</v>
      </c>
      <c r="B22">
        <f>FIND(",",A22)</f>
        <v>7</v>
      </c>
      <c r="C22" t="str">
        <f>MID(A22,B22+1,LEN(A22)-B22)</f>
        <v>http://[2409:8087:1e01:20::3]/PLTV/11/224/3221225678/1.m3u8</v>
      </c>
      <c r="D22" t="str">
        <f>LEFT(A22,B22-1)</f>
        <v>咪视界-13</v>
      </c>
    </row>
    <row r="23" spans="1:4" x14ac:dyDescent="0.25">
      <c r="A23" t="s">
        <v>2037</v>
      </c>
      <c r="B23">
        <f>FIND(",",A23)</f>
        <v>7</v>
      </c>
      <c r="C23" t="str">
        <f>MID(A23,B23+1,LEN(A23)-B23)</f>
        <v>http://[2409:8087:1e01:20::3]/PLTV/11/224/3221225679/1.m3u8</v>
      </c>
      <c r="D23" t="str">
        <f>LEFT(A23,B23-1)</f>
        <v>咪视界-14</v>
      </c>
    </row>
    <row r="24" spans="1:4" x14ac:dyDescent="0.25">
      <c r="A24" t="s">
        <v>2038</v>
      </c>
      <c r="B24">
        <f>FIND(",",A24)</f>
        <v>7</v>
      </c>
      <c r="C24" t="str">
        <f>MID(A24,B24+1,LEN(A24)-B24)</f>
        <v>http://[2409:8087:1e01:20::3]/PLTV/11/224/3221225680/1.m3u8</v>
      </c>
      <c r="D24" t="str">
        <f>LEFT(A24,B24-1)</f>
        <v>咪视界-15</v>
      </c>
    </row>
    <row r="25" spans="1:4" x14ac:dyDescent="0.25">
      <c r="A25" t="s">
        <v>2039</v>
      </c>
      <c r="B25">
        <f>FIND(",",A25)</f>
        <v>7</v>
      </c>
      <c r="C25" t="str">
        <f>MID(A25,B25+1,LEN(A25)-B25)</f>
        <v>http://[2409:8087:1e01:20::3]/PLTV/11/224/3221225681/1.m3u8</v>
      </c>
      <c r="D25" t="str">
        <f>LEFT(A25,B25-1)</f>
        <v>咪视界-16</v>
      </c>
    </row>
    <row r="26" spans="1:4" x14ac:dyDescent="0.25">
      <c r="A26" t="s">
        <v>2040</v>
      </c>
      <c r="B26">
        <f>FIND(",",A26)</f>
        <v>7</v>
      </c>
      <c r="C26" t="str">
        <f>MID(A26,B26+1,LEN(A26)-B26)</f>
        <v>http://[2409:8087:1e01:20::3]/PLTV/11/224/3221225682/1.m3u8</v>
      </c>
      <c r="D26" t="str">
        <f>LEFT(A26,B26-1)</f>
        <v>咪视界-17</v>
      </c>
    </row>
    <row r="27" spans="1:4" x14ac:dyDescent="0.25">
      <c r="A27" t="s">
        <v>2041</v>
      </c>
      <c r="B27">
        <f>FIND(",",A27)</f>
        <v>7</v>
      </c>
      <c r="C27" t="str">
        <f>MID(A27,B27+1,LEN(A27)-B27)</f>
        <v>http://[2409:8087:1e01:20::3]/PLTV/11/224/3221225683/1.m3u8</v>
      </c>
      <c r="D27" t="str">
        <f>LEFT(A27,B27-1)</f>
        <v>咪视界-18</v>
      </c>
    </row>
    <row r="28" spans="1:4" x14ac:dyDescent="0.25">
      <c r="A28" t="s">
        <v>2042</v>
      </c>
      <c r="B28">
        <f>FIND(",",A28)</f>
        <v>7</v>
      </c>
      <c r="C28" t="str">
        <f>MID(A28,B28+1,LEN(A28)-B28)</f>
        <v>http://[2409:8087:1e01:20::3]/PLTV/11/224/3221225684/1.m3u8</v>
      </c>
      <c r="D28" t="str">
        <f>LEFT(A28,B28-1)</f>
        <v>咪视界-19</v>
      </c>
    </row>
    <row r="29" spans="1:4" x14ac:dyDescent="0.25">
      <c r="A29" t="s">
        <v>2043</v>
      </c>
      <c r="B29">
        <f>FIND(",",A29)</f>
        <v>7</v>
      </c>
      <c r="C29" t="str">
        <f>MID(A29,B29+1,LEN(A29)-B29)</f>
        <v>http://[2409:8087:1e01:20::3]/PLTV/11/224/3221225685/1.m3u8</v>
      </c>
      <c r="D29" t="str">
        <f>LEFT(A29,B29-1)</f>
        <v>咪视界-20</v>
      </c>
    </row>
    <row r="30" spans="1:4" x14ac:dyDescent="0.25">
      <c r="A30" t="s">
        <v>2044</v>
      </c>
      <c r="B30">
        <f>FIND(",",A30)</f>
        <v>7</v>
      </c>
      <c r="C30" t="str">
        <f>MID(A30,B30+1,LEN(A30)-B30)</f>
        <v>http://[2409:8087:1e01:20::3]/PLTV/11/224/3221225686/1.m3u8</v>
      </c>
      <c r="D30" t="str">
        <f>LEFT(A30,B30-1)</f>
        <v>咪视界-21</v>
      </c>
    </row>
    <row r="31" spans="1:4" x14ac:dyDescent="0.25">
      <c r="A31" t="s">
        <v>2056</v>
      </c>
      <c r="B31">
        <f>FIND(",",A31)</f>
        <v>8</v>
      </c>
      <c r="C31" t="str">
        <f>MID(A31,B31+1,LEN(A31)-B31)</f>
        <v>http://[2409:8087:1e01:20::3]/PLTV/11/224/3221225687/1.m3u8</v>
      </c>
      <c r="D31" t="str">
        <f>LEFT(A31,B31-1)</f>
        <v>至臻视界-4K</v>
      </c>
    </row>
    <row r="32" spans="1:4" x14ac:dyDescent="0.25">
      <c r="A32" t="s">
        <v>2045</v>
      </c>
      <c r="B32">
        <f>FIND(",",A32)</f>
        <v>7</v>
      </c>
      <c r="C32" t="str">
        <f>MID(A32,B32+1,LEN(A32)-B32)</f>
        <v>http://[2409:8087:1e01:20::3]/PLTV/11/224/3221225688/1.m3u8</v>
      </c>
      <c r="D32" t="str">
        <f>LEFT(A32,B32-1)</f>
        <v>咪视界-22</v>
      </c>
    </row>
    <row r="33" spans="1:4" x14ac:dyDescent="0.25">
      <c r="A33" t="s">
        <v>2046</v>
      </c>
      <c r="B33">
        <f>FIND(",",A33)</f>
        <v>7</v>
      </c>
      <c r="C33" t="str">
        <f>MID(A33,B33+1,LEN(A33)-B33)</f>
        <v>http://[2409:8087:1e01:20::3]/PLTV/11/224/3221225689/1.m3u8</v>
      </c>
      <c r="D33" t="str">
        <f>LEFT(A33,B33-1)</f>
        <v>咪视界-23</v>
      </c>
    </row>
    <row r="34" spans="1:4" x14ac:dyDescent="0.25">
      <c r="A34" t="s">
        <v>2047</v>
      </c>
      <c r="B34">
        <f>FIND(",",A34)</f>
        <v>7</v>
      </c>
      <c r="C34" t="str">
        <f>MID(A34,B34+1,LEN(A34)-B34)</f>
        <v>http://[2409:8087:1e01:20::3]/PLTV/11/224/3221225690/1.m3u8</v>
      </c>
      <c r="D34" t="str">
        <f>LEFT(A34,B34-1)</f>
        <v>咪视界-24</v>
      </c>
    </row>
    <row r="35" spans="1:4" x14ac:dyDescent="0.25">
      <c r="A35" t="s">
        <v>2048</v>
      </c>
      <c r="B35">
        <f>FIND(",",A35)</f>
        <v>7</v>
      </c>
      <c r="C35" t="str">
        <f>MID(A35,B35+1,LEN(A35)-B35)</f>
        <v>http://[2409:8087:1e01:20::3]/PLTV/11/224/3221225692/1.m3u8</v>
      </c>
      <c r="D35" t="str">
        <f>LEFT(A35,B35-1)</f>
        <v>咪视界-25</v>
      </c>
    </row>
    <row r="36" spans="1:4" x14ac:dyDescent="0.25">
      <c r="A36" t="s">
        <v>2049</v>
      </c>
      <c r="B36">
        <f>FIND(",",A36)</f>
        <v>7</v>
      </c>
      <c r="C36" t="str">
        <f>MID(A36,B36+1,LEN(A36)-B36)</f>
        <v>http://[2409:8087:1e01:20::3]/PLTV/11/224/3221225693/1.m3u8</v>
      </c>
      <c r="D36" t="str">
        <f>LEFT(A36,B36-1)</f>
        <v>咪视界-26</v>
      </c>
    </row>
    <row r="37" spans="1:4" x14ac:dyDescent="0.25">
      <c r="A37" t="s">
        <v>2050</v>
      </c>
      <c r="B37">
        <f>FIND(",",A37)</f>
        <v>7</v>
      </c>
      <c r="C37" t="str">
        <f>MID(A37,B37+1,LEN(A37)-B37)</f>
        <v>http://[2409:8087:1e01:20::3]/PLTV/11/224/3221225694/1.m3u8</v>
      </c>
      <c r="D37" t="str">
        <f>LEFT(A37,B37-1)</f>
        <v>咪视界-27</v>
      </c>
    </row>
    <row r="38" spans="1:4" x14ac:dyDescent="0.25">
      <c r="A38" t="s">
        <v>2051</v>
      </c>
      <c r="B38">
        <f>FIND(",",A38)</f>
        <v>7</v>
      </c>
      <c r="C38" t="str">
        <f>MID(A38,B38+1,LEN(A38)-B38)</f>
        <v>http://[2409:8087:1e01:20::3]/PLTV/11/224/3221225695/1.m3u8</v>
      </c>
      <c r="D38" t="str">
        <f>LEFT(A38,B38-1)</f>
        <v>咪视界-28</v>
      </c>
    </row>
    <row r="39" spans="1:4" x14ac:dyDescent="0.25">
      <c r="A39" t="s">
        <v>2052</v>
      </c>
      <c r="B39">
        <f>FIND(",",A39)</f>
        <v>7</v>
      </c>
      <c r="C39" t="str">
        <f>MID(A39,B39+1,LEN(A39)-B39)</f>
        <v>http://[2409:8087:1e01:20::3]/PLTV/11/224/3221225697/1.m3u8</v>
      </c>
      <c r="D39" t="str">
        <f>LEFT(A39,B39-1)</f>
        <v>咪视界-29</v>
      </c>
    </row>
    <row r="40" spans="1:4" x14ac:dyDescent="0.25">
      <c r="A40" t="s">
        <v>2053</v>
      </c>
      <c r="B40">
        <f>FIND(",",A40)</f>
        <v>7</v>
      </c>
      <c r="C40" t="str">
        <f>MID(A40,B40+1,LEN(A40)-B40)</f>
        <v>http://[2409:8087:1e01:20::3]/PLTV/11/224/3221225699/1.m3u8</v>
      </c>
      <c r="D40" t="str">
        <f>LEFT(A40,B40-1)</f>
        <v>咪视界-30</v>
      </c>
    </row>
    <row r="41" spans="1:4" x14ac:dyDescent="0.25">
      <c r="A41" t="s">
        <v>1962</v>
      </c>
      <c r="B41">
        <f>FIND(",",A41)</f>
        <v>7</v>
      </c>
      <c r="C41" t="str">
        <f>MID(A41,B41+1,LEN(A41)-B41)</f>
        <v>http://[2409:8087:1e01:20::3]/PLTV/11/224/3221225701/1.m3u8</v>
      </c>
      <c r="D41" t="str">
        <f>LEFT(A41,B41-1)</f>
        <v>CCTV-7</v>
      </c>
    </row>
    <row r="42" spans="1:4" x14ac:dyDescent="0.25">
      <c r="A42" t="s">
        <v>1982</v>
      </c>
      <c r="B42">
        <f>FIND(",",A42)</f>
        <v>5</v>
      </c>
      <c r="C42" t="str">
        <f>MID(A42,B42+1,LEN(A42)-B42)</f>
        <v>http://[2409:8087:1e01:20::3]/PLTV/11/224/3221225720/1.m3u8</v>
      </c>
      <c r="D42" t="str">
        <f>LEFT(A42,B42-1)</f>
        <v>江苏卫视</v>
      </c>
    </row>
    <row r="43" spans="1:4" x14ac:dyDescent="0.25">
      <c r="A43" t="s">
        <v>1983</v>
      </c>
      <c r="B43">
        <f>FIND(",",A43)</f>
        <v>6</v>
      </c>
      <c r="C43" t="str">
        <f>MID(A43,B43+1,LEN(A43)-B43)</f>
        <v>http://[2409:8087:1e01:20::3]/PLTV/11/224/3221225722/1.m3u8</v>
      </c>
      <c r="D43" t="str">
        <f>LEFT(A43,B43-1)</f>
        <v>黑龙江卫视</v>
      </c>
    </row>
    <row r="44" spans="1:4" x14ac:dyDescent="0.25">
      <c r="A44" t="s">
        <v>1951</v>
      </c>
      <c r="B44">
        <f>FIND(",",A44)</f>
        <v>7</v>
      </c>
      <c r="C44" t="str">
        <f>MID(A44,B44+1,LEN(A44)-B44)</f>
        <v>http://[2409:8087:1e01:20::3]/PLTV/11/224/3221225723/1.m3u8</v>
      </c>
      <c r="D44" t="str">
        <f>LEFT(A44,B44-1)</f>
        <v>CCTV-1</v>
      </c>
    </row>
    <row r="45" spans="1:4" x14ac:dyDescent="0.25">
      <c r="A45" t="s">
        <v>1984</v>
      </c>
      <c r="B45">
        <f>FIND(",",A45)</f>
        <v>5</v>
      </c>
      <c r="C45" t="str">
        <f>MID(A45,B45+1,LEN(A45)-B45)</f>
        <v>http://[2409:8087:1e01:20::3]/PLTV/11/224/3221225724/1.m3u8</v>
      </c>
      <c r="D45" t="str">
        <f>LEFT(A45,B45-1)</f>
        <v>北京卫视</v>
      </c>
    </row>
    <row r="46" spans="1:4" x14ac:dyDescent="0.25">
      <c r="A46" t="s">
        <v>1985</v>
      </c>
      <c r="B46">
        <f>FIND(",",A46)</f>
        <v>5</v>
      </c>
      <c r="C46" t="str">
        <f>MID(A46,B46+1,LEN(A46)-B46)</f>
        <v>http://[2409:8087:1e01:20::3]/PLTV/11/224/3221225725/1.m3u8</v>
      </c>
      <c r="D46" t="str">
        <f>LEFT(A46,B46-1)</f>
        <v>东方卫视</v>
      </c>
    </row>
    <row r="47" spans="1:4" x14ac:dyDescent="0.25">
      <c r="A47" t="s">
        <v>1987</v>
      </c>
      <c r="B47">
        <f>FIND(",",A47)</f>
        <v>5</v>
      </c>
      <c r="C47" t="str">
        <f>MID(A47,B47+1,LEN(A47)-B47)</f>
        <v>http://[2409:8087:1e01:20::3]/PLTV/11/224/3221225726/1.m3u8</v>
      </c>
      <c r="D47" t="str">
        <f>LEFT(A47,B47-1)</f>
        <v>湖南卫视</v>
      </c>
    </row>
    <row r="48" spans="1:4" x14ac:dyDescent="0.25">
      <c r="A48" t="s">
        <v>1988</v>
      </c>
      <c r="B48">
        <f>FIND(",",A48)</f>
        <v>5</v>
      </c>
      <c r="C48" t="str">
        <f>MID(A48,B48+1,LEN(A48)-B48)</f>
        <v>http://[2409:8087:1e01:20::3]/PLTV/11/224/3221225727/1.m3u8</v>
      </c>
      <c r="D48" t="str">
        <f>LEFT(A48,B48-1)</f>
        <v>浙江卫视</v>
      </c>
    </row>
    <row r="49" spans="1:4" x14ac:dyDescent="0.25">
      <c r="A49" t="s">
        <v>1989</v>
      </c>
      <c r="B49">
        <f>FIND(",",A49)</f>
        <v>5</v>
      </c>
      <c r="C49" t="str">
        <f>MID(A49,B49+1,LEN(A49)-B49)</f>
        <v>http://[2409:8087:1e01:20::3]/PLTV/11/224/3221225728/1.m3u8</v>
      </c>
      <c r="D49" t="str">
        <f>LEFT(A49,B49-1)</f>
        <v>深圳卫视</v>
      </c>
    </row>
    <row r="50" spans="1:4" x14ac:dyDescent="0.25">
      <c r="A50" t="s">
        <v>1990</v>
      </c>
      <c r="B50">
        <f>FIND(",",A50)</f>
        <v>5</v>
      </c>
      <c r="C50" t="str">
        <f>MID(A50,B50+1,LEN(A50)-B50)</f>
        <v>http://[2409:8087:1e01:20::3]/PLTV/11/224/3221225729/1.m3u8</v>
      </c>
      <c r="D50" t="str">
        <f>LEFT(A50,B50-1)</f>
        <v>湖北卫视</v>
      </c>
    </row>
    <row r="51" spans="1:4" x14ac:dyDescent="0.25">
      <c r="A51" t="s">
        <v>1991</v>
      </c>
      <c r="B51">
        <f>FIND(",",A51)</f>
        <v>5</v>
      </c>
      <c r="C51" t="str">
        <f>MID(A51,B51+1,LEN(A51)-B51)</f>
        <v>http://[2409:8087:1e01:20::3]/PLTV/11/224/3221225731/1.m3u8</v>
      </c>
      <c r="D51" t="str">
        <f>LEFT(A51,B51-1)</f>
        <v>广东卫视</v>
      </c>
    </row>
    <row r="52" spans="1:4" x14ac:dyDescent="0.25">
      <c r="A52" t="s">
        <v>2084</v>
      </c>
      <c r="B52">
        <f>FIND(",",A52)</f>
        <v>5</v>
      </c>
      <c r="C52" t="str">
        <f>MID(A52,B52+1,LEN(A52)-B52)</f>
        <v>http://[2409:8087:1e01:20::3]/PLTV/11/224/3221225732/1.m3u8</v>
      </c>
      <c r="D52" t="str">
        <f>LEFT(A52,B52-1)</f>
        <v>五星体育</v>
      </c>
    </row>
    <row r="53" spans="1:4" x14ac:dyDescent="0.25">
      <c r="A53" t="s">
        <v>1992</v>
      </c>
      <c r="B53">
        <f>FIND(",",A53)</f>
        <v>5</v>
      </c>
      <c r="C53" t="str">
        <f>MID(A53,B53+1,LEN(A53)-B53)</f>
        <v>http://[2409:8087:1e01:20::3]/PLTV/11/224/3221225733/1.m3u8</v>
      </c>
      <c r="D53" t="str">
        <f>LEFT(A53,B53-1)</f>
        <v>山东卫视</v>
      </c>
    </row>
    <row r="54" spans="1:4" x14ac:dyDescent="0.25">
      <c r="A54" t="s">
        <v>1958</v>
      </c>
      <c r="B54">
        <f>FIND(",",A54)</f>
        <v>7</v>
      </c>
      <c r="C54" t="str">
        <f>MID(A54,B54+1,LEN(A54)-B54)</f>
        <v>http://[2409:8087:1e01:20::3]/PLTV/11/224/3221225734/1.m3u8</v>
      </c>
      <c r="D54" t="str">
        <f>LEFT(A54,B54-1)</f>
        <v>CCTV-5</v>
      </c>
    </row>
    <row r="55" spans="1:4" x14ac:dyDescent="0.25">
      <c r="A55" t="s">
        <v>1965</v>
      </c>
      <c r="B55">
        <f>FIND(",",A55)</f>
        <v>7</v>
      </c>
      <c r="C55" t="str">
        <f>MID(A55,B55+1,LEN(A55)-B55)</f>
        <v>http://[2409:8087:1e01:20::3]/PLTV/11/224/3221225736/1.m3u8</v>
      </c>
      <c r="D55" t="str">
        <f>LEFT(A55,B55-1)</f>
        <v>CCTV-8</v>
      </c>
    </row>
    <row r="56" spans="1:4" x14ac:dyDescent="0.25">
      <c r="A56" t="s">
        <v>2085</v>
      </c>
      <c r="B56">
        <f>FIND(",",A56)</f>
        <v>5</v>
      </c>
      <c r="C56" t="str">
        <f>MID(A56,B56+1,LEN(A56)-B56)</f>
        <v>http://[2409:8087:1e01:20::3]/PLTV/11/224/3221225737/1.m3u8</v>
      </c>
      <c r="D56" t="str">
        <f>LEFT(A56,B56-1)</f>
        <v>第一财经</v>
      </c>
    </row>
    <row r="57" spans="1:4" x14ac:dyDescent="0.25">
      <c r="A57" t="s">
        <v>1974</v>
      </c>
      <c r="B57">
        <f>FIND(",",A57)</f>
        <v>8</v>
      </c>
      <c r="C57" t="str">
        <f>MID(A57,B57+1,LEN(A57)-B57)</f>
        <v>http://[2409:8087:1e01:20::3]/PLTV/11/224/3221225738/1.m3u8</v>
      </c>
      <c r="D57" t="str">
        <f>LEFT(A57,B57-1)</f>
        <v>CCTV-14</v>
      </c>
    </row>
    <row r="58" spans="1:4" x14ac:dyDescent="0.25">
      <c r="A58" t="s">
        <v>1993</v>
      </c>
      <c r="B58">
        <f>FIND(",",A58)</f>
        <v>5</v>
      </c>
      <c r="C58" t="str">
        <f>MID(A58,B58+1,LEN(A58)-B58)</f>
        <v>http://[2409:8087:1e01:20::3]/PLTV/11/224/3221225739/1.m3u8</v>
      </c>
      <c r="D58" t="str">
        <f>LEFT(A58,B58-1)</f>
        <v>安徽卫视</v>
      </c>
    </row>
    <row r="59" spans="1:4" x14ac:dyDescent="0.25">
      <c r="A59" t="s">
        <v>1994</v>
      </c>
      <c r="B59">
        <f>FIND(",",A59)</f>
        <v>5</v>
      </c>
      <c r="C59" t="str">
        <f>MID(A59,B59+1,LEN(A59)-B59)</f>
        <v>http://[2409:8087:1e01:20::3]/PLTV/11/224/3221225740/1.m3u8</v>
      </c>
      <c r="D59" t="str">
        <f>LEFT(A59,B59-1)</f>
        <v>江西卫视</v>
      </c>
    </row>
    <row r="60" spans="1:4" x14ac:dyDescent="0.25">
      <c r="A60" t="s">
        <v>1960</v>
      </c>
      <c r="B60">
        <f>FIND(",",A60)</f>
        <v>7</v>
      </c>
      <c r="C60" t="str">
        <f>MID(A60,B60+1,LEN(A60)-B60)</f>
        <v>http://[2409:8087:1e01:20::3]/PLTV/11/224/3221225741/1.m3u8</v>
      </c>
      <c r="D60" t="str">
        <f>LEFT(A60,B60-1)</f>
        <v>CCTV-6</v>
      </c>
    </row>
    <row r="61" spans="1:4" x14ac:dyDescent="0.25">
      <c r="A61" t="s">
        <v>1995</v>
      </c>
      <c r="B61">
        <f>FIND(",",A61)</f>
        <v>5</v>
      </c>
      <c r="C61" t="str">
        <f>MID(A61,B61+1,LEN(A61)-B61)</f>
        <v>http://[2409:8087:1e01:20::3]/PLTV/11/224/3221225742/1.m3u8</v>
      </c>
      <c r="D61" t="str">
        <f>LEFT(A61,B61-1)</f>
        <v>天津卫视</v>
      </c>
    </row>
    <row r="62" spans="1:4" x14ac:dyDescent="0.25">
      <c r="A62" t="s">
        <v>1967</v>
      </c>
      <c r="B62">
        <f>FIND(",",A62)</f>
        <v>8</v>
      </c>
      <c r="C62" t="str">
        <f>MID(A62,B62+1,LEN(A62)-B62)</f>
        <v>http://[2409:8087:1e01:20::3]/PLTV/11/224/3221225743/1.m3u8</v>
      </c>
      <c r="D62" t="str">
        <f>LEFT(A62,B62-1)</f>
        <v>CCTV-10</v>
      </c>
    </row>
    <row r="63" spans="1:4" x14ac:dyDescent="0.25">
      <c r="A63" t="s">
        <v>2086</v>
      </c>
      <c r="B63">
        <f>FIND(",",A63)</f>
        <v>5</v>
      </c>
      <c r="C63" t="str">
        <f>MID(A63,B63+1,LEN(A63)-B63)</f>
        <v>http://[2409:8087:1e01:20::3]/PLTV/11/224/3221225744/1.m3u8</v>
      </c>
      <c r="D63" t="str">
        <f>LEFT(A63,B63-1)</f>
        <v>东方影视</v>
      </c>
    </row>
    <row r="64" spans="1:4" x14ac:dyDescent="0.25">
      <c r="A64" t="s">
        <v>1996</v>
      </c>
      <c r="B64">
        <f>FIND(",",A64)</f>
        <v>5</v>
      </c>
      <c r="C64" t="str">
        <f>MID(A64,B64+1,LEN(A64)-B64)</f>
        <v>http://[2409:8087:1e01:20::3]/PLTV/11/224/3221225745/1.m3u8</v>
      </c>
      <c r="D64" t="str">
        <f>LEFT(A64,B64-1)</f>
        <v>东南卫视</v>
      </c>
    </row>
    <row r="65" spans="1:4" x14ac:dyDescent="0.25">
      <c r="A65" t="s">
        <v>1997</v>
      </c>
      <c r="B65">
        <f>FIND(",",A65)</f>
        <v>5</v>
      </c>
      <c r="C65" t="str">
        <f>MID(A65,B65+1,LEN(A65)-B65)</f>
        <v>http://[2409:8087:1e01:20::3]/PLTV/11/224/3221225747/1.m3u8</v>
      </c>
      <c r="D65" t="str">
        <f>LEFT(A65,B65-1)</f>
        <v>辽宁卫视</v>
      </c>
    </row>
    <row r="66" spans="1:4" x14ac:dyDescent="0.25">
      <c r="A66" t="s">
        <v>2076</v>
      </c>
      <c r="B66">
        <f>FIND(",",A66)</f>
        <v>5</v>
      </c>
      <c r="C66" t="str">
        <f>MID(A66,B66+1,LEN(A66)-B66)</f>
        <v>http://[2409:8087:1e01:20::3]/PLTV/11/224/3221225748/1.m3u8</v>
      </c>
      <c r="D66" t="str">
        <f>LEFT(A66,B66-1)</f>
        <v>金色学堂</v>
      </c>
    </row>
    <row r="67" spans="1:4" x14ac:dyDescent="0.25">
      <c r="A67" t="s">
        <v>2087</v>
      </c>
      <c r="B67">
        <f>FIND(",",A67)</f>
        <v>5</v>
      </c>
      <c r="C67" t="str">
        <f>MID(A67,B67+1,LEN(A67)-B67)</f>
        <v>http://[2409:8087:1e01:20::3]/PLTV/11/224/3221225749/1.m3u8</v>
      </c>
      <c r="D67" t="str">
        <f>LEFT(A67,B67-1)</f>
        <v>上海都市</v>
      </c>
    </row>
    <row r="68" spans="1:4" x14ac:dyDescent="0.25">
      <c r="A68" t="s">
        <v>2088</v>
      </c>
      <c r="B68">
        <f>FIND(",",A68)</f>
        <v>9</v>
      </c>
      <c r="C68" t="str">
        <f>MID(A68,B68+1,LEN(A68)-B68)</f>
        <v>http://[2409:8087:1e01:20::3]/PLTV/11/224/3221225762/1.m3u8</v>
      </c>
      <c r="D68" t="str">
        <f>LEFT(A68,B68-1)</f>
        <v>city都市剧场</v>
      </c>
    </row>
    <row r="69" spans="1:4" x14ac:dyDescent="0.25">
      <c r="A69" t="s">
        <v>2077</v>
      </c>
      <c r="B69">
        <f>FIND(",",A69)</f>
        <v>5</v>
      </c>
      <c r="C69" t="str">
        <f>MID(A69,B69+1,LEN(A69)-B69)</f>
        <v>http://[2409:8087:1e01:20::3]/PLTV/11/224/3221225764/1.m3u8</v>
      </c>
      <c r="D69" t="str">
        <f>LEFT(A69,B69-1)</f>
        <v>动漫秀场</v>
      </c>
    </row>
    <row r="70" spans="1:4" x14ac:dyDescent="0.25">
      <c r="A70" t="s">
        <v>1955</v>
      </c>
      <c r="B70">
        <f>FIND(",",A70)</f>
        <v>7</v>
      </c>
      <c r="C70" t="str">
        <f>MID(A70,B70+1,LEN(A70)-B70)</f>
        <v>http://[2409:8087:1e01:20::3]/PLTV/11/224/3221225766/1.m3u8</v>
      </c>
      <c r="D70" t="str">
        <f>LEFT(A70,B70-1)</f>
        <v>CCTV-3</v>
      </c>
    </row>
    <row r="71" spans="1:4" x14ac:dyDescent="0.25">
      <c r="A71" t="s">
        <v>2079</v>
      </c>
      <c r="B71">
        <f>FIND(",",A71)</f>
        <v>5</v>
      </c>
      <c r="C71" t="str">
        <f>MID(A71,B71+1,LEN(A71)-B71)</f>
        <v>http://[2409:8087:1e01:20::3]/PLTV/11/224/3221225768/1.m3u8</v>
      </c>
      <c r="D71" t="str">
        <f>LEFT(A71,B71-1)</f>
        <v>生活时尚</v>
      </c>
    </row>
    <row r="72" spans="1:4" x14ac:dyDescent="0.25">
      <c r="A72" t="s">
        <v>1952</v>
      </c>
      <c r="B72">
        <f>FIND(",",A72)</f>
        <v>7</v>
      </c>
      <c r="C72" t="str">
        <f>MID(A72,B72+1,LEN(A72)-B72)</f>
        <v>http://[2409:8087:1e01:20::3]/PLTV/11/224/3221225770/1.m3u8</v>
      </c>
      <c r="D72" t="str">
        <f>LEFT(A72,B72-1)</f>
        <v>CCTV-1</v>
      </c>
    </row>
    <row r="73" spans="1:4" x14ac:dyDescent="0.25">
      <c r="A73" t="s">
        <v>2090</v>
      </c>
      <c r="B73">
        <f>FIND(",",A73)</f>
        <v>7</v>
      </c>
      <c r="C73" t="str">
        <f>MID(A73,B73+1,LEN(A73)-B73)</f>
        <v>http://[2409:8087:1e01:20::3]/PLTV/11/224/3221225771/1.m3u8</v>
      </c>
      <c r="D73" t="str">
        <f>LEFT(A73,B73-1)</f>
        <v>欢笑剧场4K</v>
      </c>
    </row>
    <row r="74" spans="1:4" x14ac:dyDescent="0.25">
      <c r="A74" t="s">
        <v>2013</v>
      </c>
      <c r="B74">
        <f>FIND(",",A74)</f>
        <v>7</v>
      </c>
      <c r="C74" t="str">
        <f>MID(A74,B74+1,LEN(A74)-B74)</f>
        <v>http://[2409:8087:1e01:20::3]/PLTV/11/224/3221225775/1.m3u8</v>
      </c>
      <c r="D74" t="str">
        <f>LEFT(A74,B74-1)</f>
        <v>CETV-1</v>
      </c>
    </row>
    <row r="75" spans="1:4" x14ac:dyDescent="0.25">
      <c r="A75" t="s">
        <v>2091</v>
      </c>
      <c r="B75">
        <f>FIND(",",A75)</f>
        <v>5</v>
      </c>
      <c r="C75" t="str">
        <f>MID(A75,B75+1,LEN(A75)-B75)</f>
        <v>http://[2409:8087:1e01:20::3]/PLTV/11/224/3221225994/1.m3u8</v>
      </c>
      <c r="D75" t="str">
        <f>LEFT(A75,B75-1)</f>
        <v>法制天地</v>
      </c>
    </row>
    <row r="76" spans="1:4" x14ac:dyDescent="0.25">
      <c r="A76" t="s">
        <v>2082</v>
      </c>
      <c r="B76">
        <f>FIND(",",A76)</f>
        <v>5</v>
      </c>
      <c r="C76" t="str">
        <f>MID(A76,B76+1,LEN(A76)-B76)</f>
        <v>http://[2409:8087:1e01:20::3]/PLTV/11/224/3221226019/1.m3u8</v>
      </c>
      <c r="D76" t="str">
        <f>LEFT(A76,B76-1)</f>
        <v>卡酷少儿</v>
      </c>
    </row>
    <row r="77" spans="1:4" x14ac:dyDescent="0.25">
      <c r="A77" t="s">
        <v>2055</v>
      </c>
      <c r="B77">
        <f>FIND(",",A77)</f>
        <v>6</v>
      </c>
      <c r="C77" t="str">
        <f>MID(A77,B77+1,LEN(A77)-B77)</f>
        <v>http://[2409:8087:1e01:20::3]/PLTV/11/224/3221226080/1.m3u8</v>
      </c>
      <c r="D77" t="str">
        <f>LEFT(A77,B77-1)</f>
        <v>咪视界4K</v>
      </c>
    </row>
    <row r="78" spans="1:4" x14ac:dyDescent="0.25">
      <c r="A78" t="s">
        <v>1998</v>
      </c>
      <c r="B78">
        <f>FIND(",",A78)</f>
        <v>5</v>
      </c>
      <c r="C78" t="str">
        <f>MID(A78,B78+1,LEN(A78)-B78)</f>
        <v>http://[2409:8087:1e01:20::3]/PLTV/11/224/3221226082/1.m3u8</v>
      </c>
      <c r="D78" t="str">
        <f>LEFT(A78,B78-1)</f>
        <v>吉林卫视</v>
      </c>
    </row>
    <row r="79" spans="1:4" x14ac:dyDescent="0.25">
      <c r="A79" t="s">
        <v>2000</v>
      </c>
      <c r="B79">
        <f>FIND(",",A79)</f>
        <v>5</v>
      </c>
      <c r="C79" t="str">
        <f>MID(A79,B79+1,LEN(A79)-B79)</f>
        <v>http://[2409:8087:1e01:20::3]/PLTV/11/224/3221226084/1.m3u8</v>
      </c>
      <c r="D79" t="str">
        <f>LEFT(A79,B79-1)</f>
        <v>广西卫视</v>
      </c>
    </row>
    <row r="80" spans="1:4" x14ac:dyDescent="0.25">
      <c r="A80" t="s">
        <v>2002</v>
      </c>
      <c r="B80">
        <f>FIND(",",A80)</f>
        <v>5</v>
      </c>
      <c r="C80" t="str">
        <f>MID(A80,B80+1,LEN(A80)-B80)</f>
        <v>http://[2409:8087:1e01:20::3]/PLTV/11/224/3221226090/1.m3u8</v>
      </c>
      <c r="D80" t="str">
        <f>LEFT(A80,B80-1)</f>
        <v>甘肃卫视</v>
      </c>
    </row>
    <row r="81" spans="1:4" x14ac:dyDescent="0.25">
      <c r="A81" t="s">
        <v>2083</v>
      </c>
      <c r="B81">
        <f>FIND(",",A81)</f>
        <v>5</v>
      </c>
      <c r="C81" t="str">
        <f>MID(A81,B81+1,LEN(A81)-B81)</f>
        <v>http://[2409:8087:1e01:20::3]/PLTV/11/224/3221226094/1.m3u8</v>
      </c>
      <c r="D81" t="str">
        <f>LEFT(A81,B81-1)</f>
        <v>金鹰卡通</v>
      </c>
    </row>
    <row r="82" spans="1:4" x14ac:dyDescent="0.25">
      <c r="A82" t="s">
        <v>1969</v>
      </c>
      <c r="B82">
        <f>FIND(",",A82)</f>
        <v>8</v>
      </c>
      <c r="C82" t="str">
        <f>MID(A82,B82+1,LEN(A82)-B82)</f>
        <v>http://[2409:8087:1e01:20::3]/PLTV/11/224/3221226101/1.m3u8</v>
      </c>
      <c r="D82" t="str">
        <f>LEFT(A82,B82-1)</f>
        <v>CCTV-11</v>
      </c>
    </row>
    <row r="83" spans="1:4" x14ac:dyDescent="0.25">
      <c r="A83" t="s">
        <v>2413</v>
      </c>
      <c r="B83">
        <f>FIND(",",A83)</f>
        <v>8</v>
      </c>
      <c r="C83" t="str">
        <f>MID(A83,B83+1,LEN(A83)-B83)</f>
        <v>http://[2409:8087:1e01:20::3]/PLTV/11/224/3221226102/1.m3u8</v>
      </c>
      <c r="D83" t="str">
        <f>LEFT(A83,B83-1)</f>
        <v>BesTV-9</v>
      </c>
    </row>
    <row r="84" spans="1:4" x14ac:dyDescent="0.25">
      <c r="A84" t="s">
        <v>1971</v>
      </c>
      <c r="B84">
        <f>FIND(",",A84)</f>
        <v>8</v>
      </c>
      <c r="C84" t="str">
        <f>MID(A84,B84+1,LEN(A84)-B84)</f>
        <v>http://[2409:8087:1e01:20::3]/PLTV/11/224/3221226103/1.m3u8</v>
      </c>
      <c r="D84" t="str">
        <f>LEFT(A84,B84-1)</f>
        <v>CCTV-12</v>
      </c>
    </row>
    <row r="85" spans="1:4" x14ac:dyDescent="0.25">
      <c r="A85" t="s">
        <v>2003</v>
      </c>
      <c r="B85">
        <f>FIND(",",A85)</f>
        <v>5</v>
      </c>
      <c r="C85" t="str">
        <f>MID(A85,B85+1,LEN(A85)-B85)</f>
        <v>http://[2409:8087:1e01:20::3]/PLTV/11/224/3221226105/1.m3u8</v>
      </c>
      <c r="D85" t="str">
        <f>LEFT(A85,B85-1)</f>
        <v>青海卫视</v>
      </c>
    </row>
    <row r="86" spans="1:4" x14ac:dyDescent="0.25">
      <c r="A86" t="s">
        <v>1986</v>
      </c>
      <c r="B86">
        <f>FIND(",",A86)</f>
        <v>5</v>
      </c>
      <c r="C86" t="str">
        <f>MID(A86,B86+1,LEN(A86)-B86)</f>
        <v>http://[2409:8087:1e01:20::3]/PLTV/11/224/3221226106/1.m3u8</v>
      </c>
      <c r="D86" t="str">
        <f>LEFT(A86,B86-1)</f>
        <v>东方卫视</v>
      </c>
    </row>
    <row r="87" spans="1:4" x14ac:dyDescent="0.25">
      <c r="A87" t="s">
        <v>2004</v>
      </c>
      <c r="B87">
        <f>FIND(",",A87)</f>
        <v>5</v>
      </c>
      <c r="C87" t="str">
        <f>MID(A87,B87+1,LEN(A87)-B87)</f>
        <v>http://[2409:8087:1e01:20::3]/PLTV/11/224/3221226107/1.m3u8</v>
      </c>
      <c r="D87" t="str">
        <f>LEFT(A87,B87-1)</f>
        <v>河北卫视</v>
      </c>
    </row>
    <row r="88" spans="1:4" x14ac:dyDescent="0.25">
      <c r="A88" t="s">
        <v>2005</v>
      </c>
      <c r="B88">
        <f>FIND(",",A88)</f>
        <v>5</v>
      </c>
      <c r="C88" t="str">
        <f>MID(A88,B88+1,LEN(A88)-B88)</f>
        <v>http://[2409:8087:1e01:20::3]/PLTV/11/224/3221226109/1.m3u8</v>
      </c>
      <c r="D88" t="str">
        <f>LEFT(A88,B88-1)</f>
        <v>云南卫视</v>
      </c>
    </row>
    <row r="89" spans="1:4" x14ac:dyDescent="0.25">
      <c r="A89" t="s">
        <v>2007</v>
      </c>
      <c r="B89">
        <f>FIND(",",A89)</f>
        <v>5</v>
      </c>
      <c r="C89" t="str">
        <f>MID(A89,B89+1,LEN(A89)-B89)</f>
        <v>http://[2409:8087:1e01:20::3]/PLTV/11/224/3221226113/1.m3u8</v>
      </c>
      <c r="D89" t="str">
        <f>LEFT(A89,B89-1)</f>
        <v>山西卫视</v>
      </c>
    </row>
    <row r="90" spans="1:4" x14ac:dyDescent="0.25">
      <c r="A90" t="s">
        <v>2092</v>
      </c>
      <c r="B90">
        <f>FIND(",",A90)</f>
        <v>3</v>
      </c>
      <c r="C90" t="str">
        <f>MID(A90,B90+1,LEN(A90)-B90)</f>
        <v>http://[2409:8087:1e01:20::3]/PLTV/11/224/3221226115/1.m3u8</v>
      </c>
      <c r="D90" t="str">
        <f>LEFT(A90,B90-1)</f>
        <v>乐游</v>
      </c>
    </row>
    <row r="91" spans="1:4" x14ac:dyDescent="0.25">
      <c r="A91" t="s">
        <v>2015</v>
      </c>
      <c r="B91">
        <f>FIND(",",A91)</f>
        <v>5</v>
      </c>
      <c r="C91" t="str">
        <f>MID(A91,B91+1,LEN(A91)-B91)</f>
        <v>http://[2409:8087:1e01:20::3]/PLTV/11/224/3221226116/1.m3u8</v>
      </c>
      <c r="D91" t="str">
        <f>LEFT(A91,B91-1)</f>
        <v>睛彩竞技</v>
      </c>
    </row>
    <row r="92" spans="1:4" x14ac:dyDescent="0.25">
      <c r="A92" t="s">
        <v>2094</v>
      </c>
      <c r="B92">
        <f>FIND(",",A92)</f>
        <v>5</v>
      </c>
      <c r="C92" t="str">
        <f>MID(A92,B92+1,LEN(A92)-B92)</f>
        <v>http://[2409:8087:1e01:20::3]/PLTV/11/224/3221226117/1.m3u8</v>
      </c>
      <c r="D92" t="str">
        <f>LEFT(A92,B92-1)</f>
        <v>游戏风云</v>
      </c>
    </row>
    <row r="93" spans="1:4" x14ac:dyDescent="0.25">
      <c r="A93" t="s">
        <v>2016</v>
      </c>
      <c r="B93">
        <f>FIND(",",A93)</f>
        <v>5</v>
      </c>
      <c r="C93" t="str">
        <f>MID(A93,B93+1,LEN(A93)-B93)</f>
        <v>http://[2409:8087:1e01:20::3]/PLTV/11/224/3221226118/1.m3u8</v>
      </c>
      <c r="D93" t="str">
        <f>LEFT(A93,B93-1)</f>
        <v>睛彩篮球</v>
      </c>
    </row>
    <row r="94" spans="1:4" x14ac:dyDescent="0.25">
      <c r="A94" t="s">
        <v>1977</v>
      </c>
      <c r="B94">
        <f>FIND(",",A94)</f>
        <v>8</v>
      </c>
      <c r="C94" t="str">
        <f>MID(A94,B94+1,LEN(A94)-B94)</f>
        <v>http://[2409:8087:1e01:20::3]/PLTV/11/224/3221226120/1.m3u8</v>
      </c>
      <c r="D94" t="str">
        <f>LEFT(A94,B94-1)</f>
        <v>CCTV-16</v>
      </c>
    </row>
    <row r="95" spans="1:4" x14ac:dyDescent="0.25">
      <c r="A95" t="s">
        <v>1954</v>
      </c>
      <c r="B95">
        <f>FIND(",",A95)</f>
        <v>7</v>
      </c>
      <c r="C95" t="str">
        <f>MID(A95,B95+1,LEN(A95)-B95)</f>
        <v>http://[2409:8087:1e01:20::3]/PLTV/11/224/3221226122/1.m3u8</v>
      </c>
      <c r="D95" t="str">
        <f>LEFT(A95,B95-1)</f>
        <v>CCTV-2</v>
      </c>
    </row>
    <row r="96" spans="1:4" x14ac:dyDescent="0.25">
      <c r="A96" t="s">
        <v>2414</v>
      </c>
      <c r="B96">
        <f>FIND(",",A96)</f>
        <v>9</v>
      </c>
      <c r="C96" t="str">
        <f>MID(A96,B96+1,LEN(A96)-B96)</f>
        <v>http://[2409:8087:1e01:20::3]/PLTV/11/224/3221226123/1.m3u8</v>
      </c>
      <c r="D96" t="str">
        <f>LEFT(A96,B96-1)</f>
        <v>BesTV-10</v>
      </c>
    </row>
    <row r="97" spans="1:4" x14ac:dyDescent="0.25">
      <c r="A97" t="s">
        <v>1957</v>
      </c>
      <c r="B97">
        <f>FIND(",",A97)</f>
        <v>7</v>
      </c>
      <c r="C97" t="str">
        <f>MID(A97,B97+1,LEN(A97)-B97)</f>
        <v>http://[2409:8087:1e01:20::3]/PLTV/11/224/3221226124/1.m3u8</v>
      </c>
      <c r="D97" t="str">
        <f>LEFT(A97,B97-1)</f>
        <v>CCTV-4</v>
      </c>
    </row>
    <row r="98" spans="1:4" x14ac:dyDescent="0.25">
      <c r="A98" t="s">
        <v>2054</v>
      </c>
      <c r="B98">
        <f>FIND(",",A98)</f>
        <v>7</v>
      </c>
      <c r="C98" t="str">
        <f>MID(A98,B98+1,LEN(A98)-B98)</f>
        <v>http://[2409:8087:1e01:20::3]/PLTV/11/224/3221226125/1.m3u8</v>
      </c>
      <c r="D98" t="str">
        <f>LEFT(A98,B98-1)</f>
        <v>咪视界-31</v>
      </c>
    </row>
    <row r="99" spans="1:4" x14ac:dyDescent="0.25">
      <c r="A99" t="s">
        <v>1972</v>
      </c>
      <c r="B99">
        <f>FIND(",",A99)</f>
        <v>8</v>
      </c>
      <c r="C99" t="str">
        <f>MID(A99,B99+1,LEN(A99)-B99)</f>
        <v>http://[2409:8087:1e01:20::3]/PLTV/11/224/3221226126/1.m3u8</v>
      </c>
      <c r="D99" t="str">
        <f>LEFT(A99,B99-1)</f>
        <v>CCTV-12</v>
      </c>
    </row>
    <row r="100" spans="1:4" x14ac:dyDescent="0.25">
      <c r="A100" t="s">
        <v>1973</v>
      </c>
      <c r="B100">
        <f>FIND(",",A100)</f>
        <v>8</v>
      </c>
      <c r="C100" t="str">
        <f>MID(A100,B100+1,LEN(A100)-B100)</f>
        <v>http://[2409:8087:1e01:20::3]/PLTV/11/224/3221226128/1.m3u8</v>
      </c>
      <c r="D100" t="str">
        <f>LEFT(A100,B100-1)</f>
        <v>CCTV-13</v>
      </c>
    </row>
    <row r="101" spans="1:4" x14ac:dyDescent="0.25">
      <c r="A101" t="s">
        <v>2001</v>
      </c>
      <c r="B101">
        <f>FIND(",",A101)</f>
        <v>5</v>
      </c>
      <c r="C101" t="str">
        <f>MID(A101,B101+1,LEN(A101)-B101)</f>
        <v>http://[2409:8087:1e01:20::3]/PLTV/11/224/3221226130/1.m3u8</v>
      </c>
      <c r="D101" t="str">
        <f>LEFT(A101,B101-1)</f>
        <v>广西卫视</v>
      </c>
    </row>
    <row r="102" spans="1:4" x14ac:dyDescent="0.25">
      <c r="A102" t="s">
        <v>2008</v>
      </c>
      <c r="B102">
        <f>FIND(",",A102)</f>
        <v>5</v>
      </c>
      <c r="C102" t="str">
        <f>MID(A102,B102+1,LEN(A102)-B102)</f>
        <v>http://[2409:8087:1e01:20::3]/PLTV/11/224/3221226132/1.m3u8</v>
      </c>
      <c r="D102" t="str">
        <f>LEFT(A102,B102-1)</f>
        <v>河南卫视</v>
      </c>
    </row>
    <row r="103" spans="1:4" x14ac:dyDescent="0.25">
      <c r="A103" t="s">
        <v>2096</v>
      </c>
      <c r="B103">
        <f>FIND(",",A103)</f>
        <v>5</v>
      </c>
      <c r="C103" t="str">
        <f>MID(A103,B103+1,LEN(A103)-B103)</f>
        <v>http://[2409:8087:1e01:20::3]/PLTV/11/224/3221226134/1.m3u8</v>
      </c>
      <c r="D103" t="str">
        <f>LEFT(A103,B103-1)</f>
        <v>东方财经</v>
      </c>
    </row>
    <row r="104" spans="1:4" x14ac:dyDescent="0.25">
      <c r="A104" t="s">
        <v>2097</v>
      </c>
      <c r="B104">
        <f>FIND(",",A104)</f>
        <v>5</v>
      </c>
      <c r="C104" t="str">
        <f>MID(A104,B104+1,LEN(A104)-B104)</f>
        <v>http://[2409:8087:1e01:20::3]/PLTV/11/224/3221226136/1.m3u8</v>
      </c>
      <c r="D104" t="str">
        <f>LEFT(A104,B104-1)</f>
        <v>新闻综合</v>
      </c>
    </row>
    <row r="105" spans="1:4" x14ac:dyDescent="0.25">
      <c r="A105" t="s">
        <v>1963</v>
      </c>
      <c r="B105">
        <f>FIND(",",A105)</f>
        <v>7</v>
      </c>
      <c r="C105" t="str">
        <f>MID(A105,B105+1,LEN(A105)-B105)</f>
        <v>http://[2409:8087:1e01:20::3]/PLTV/11/224/3221226137/1.m3u8</v>
      </c>
      <c r="D105" t="str">
        <f>LEFT(A105,B105-1)</f>
        <v>CCTV-7</v>
      </c>
    </row>
    <row r="106" spans="1:4" x14ac:dyDescent="0.25">
      <c r="A106" t="s">
        <v>2078</v>
      </c>
      <c r="B106">
        <f>FIND(",",A106)</f>
        <v>5</v>
      </c>
      <c r="C106" t="str">
        <f>MID(A106,B106+1,LEN(A106)-B106)</f>
        <v>http://[2409:8087:1e01:20::3]/PLTV/11/224/3221226138/1.m3u8</v>
      </c>
      <c r="D106" t="str">
        <f>LEFT(A106,B106-1)</f>
        <v>动漫秀场</v>
      </c>
    </row>
    <row r="107" spans="1:4" x14ac:dyDescent="0.25">
      <c r="A107" t="s">
        <v>2017</v>
      </c>
      <c r="B107">
        <f>FIND(",",A107)</f>
        <v>6</v>
      </c>
      <c r="C107" t="str">
        <f>MID(A107,B107+1,LEN(A107)-B107)</f>
        <v>http://[2409:8087:1e01:20::3]/PLTV/11/224/3221226139/1.m3u8</v>
      </c>
      <c r="D107" t="str">
        <f>LEFT(A107,B107-1)</f>
        <v>睛彩广场舞</v>
      </c>
    </row>
    <row r="108" spans="1:4" x14ac:dyDescent="0.25">
      <c r="A108" t="s">
        <v>2095</v>
      </c>
      <c r="B108">
        <f>FIND(",",A108)</f>
        <v>5</v>
      </c>
      <c r="C108" t="str">
        <f>MID(A108,B108+1,LEN(A108)-B108)</f>
        <v>http://[2409:8087:1e01:20::3]/PLTV/11/224/3221226140/1.m3u8</v>
      </c>
      <c r="D108" t="str">
        <f>LEFT(A108,B108-1)</f>
        <v>游戏风云</v>
      </c>
    </row>
    <row r="109" spans="1:4" x14ac:dyDescent="0.25">
      <c r="A109" t="s">
        <v>2415</v>
      </c>
      <c r="B109">
        <f>FIND(",",A109)</f>
        <v>7</v>
      </c>
      <c r="C109" t="str">
        <f>MID(A109,B109+1,LEN(A109)-B109)</f>
        <v>http://[2409:8087:1e01:20::3]/PLTV/11/224/3221226141/1.m3u8</v>
      </c>
      <c r="D109" t="str">
        <f>LEFT(A109,B109-1)</f>
        <v>东方购物-1</v>
      </c>
    </row>
    <row r="110" spans="1:4" x14ac:dyDescent="0.25">
      <c r="A110" t="s">
        <v>2416</v>
      </c>
      <c r="B110">
        <f>FIND(",",A110)</f>
        <v>7</v>
      </c>
      <c r="C110" t="str">
        <f>MID(A110,B110+1,LEN(A110)-B110)</f>
        <v>http://[2409:8087:1e01:20::3]/PLTV/11/224/3221226142/1.m3u8</v>
      </c>
      <c r="D110" t="str">
        <f>LEFT(A110,B110-1)</f>
        <v>东方购物-2</v>
      </c>
    </row>
    <row r="111" spans="1:4" x14ac:dyDescent="0.25">
      <c r="A111" t="s">
        <v>1964</v>
      </c>
      <c r="B111">
        <f>FIND(",",A111)</f>
        <v>7</v>
      </c>
      <c r="C111" t="str">
        <f>MID(A111,B111+1,LEN(A111)-B111)</f>
        <v>http://[2409:8087:1e01:20::3]/PLTV/11/224/3221226143/1.m3u8</v>
      </c>
      <c r="D111" t="str">
        <f>LEFT(A111,B111-1)</f>
        <v>CCTV-7</v>
      </c>
    </row>
    <row r="112" spans="1:4" x14ac:dyDescent="0.25">
      <c r="A112" t="s">
        <v>2417</v>
      </c>
      <c r="B112">
        <f>FIND(",",A112)</f>
        <v>7</v>
      </c>
      <c r="C112" t="str">
        <f>MID(A112,B112+1,LEN(A112)-B112)</f>
        <v>http://[2409:8087:1e01:20::3]/PLTV/11/224/3221226144/1.m3u8</v>
      </c>
      <c r="D112" t="str">
        <f>LEFT(A112,B112-1)</f>
        <v>东方购物-3</v>
      </c>
    </row>
    <row r="113" spans="1:4" x14ac:dyDescent="0.25">
      <c r="A113" t="s">
        <v>1970</v>
      </c>
      <c r="B113">
        <f>FIND(",",A113)</f>
        <v>8</v>
      </c>
      <c r="C113" t="str">
        <f>MID(A113,B113+1,LEN(A113)-B113)</f>
        <v>http://[2409:8087:1e01:20::3]/PLTV/11/224/3221226145/1.m3u8</v>
      </c>
      <c r="D113" t="str">
        <f>LEFT(A113,B113-1)</f>
        <v>CCTV-11</v>
      </c>
    </row>
    <row r="114" spans="1:4" x14ac:dyDescent="0.25">
      <c r="A114" t="s">
        <v>1959</v>
      </c>
      <c r="B114">
        <f>FIND(",",A114)</f>
        <v>7</v>
      </c>
      <c r="C114" t="str">
        <f>MID(A114,B114+1,LEN(A114)-B114)</f>
        <v>http://[2409:8087:1e01:20::3]/PLTV/11/224/3221226146/1.m3u8</v>
      </c>
      <c r="D114" t="str">
        <f>LEFT(A114,B114-1)</f>
        <v>CCTV-5</v>
      </c>
    </row>
    <row r="115" spans="1:4" x14ac:dyDescent="0.25">
      <c r="A115" t="s">
        <v>1976</v>
      </c>
      <c r="B115">
        <f>FIND(",",A115)</f>
        <v>8</v>
      </c>
      <c r="C115" t="str">
        <f>MID(A115,B115+1,LEN(A115)-B115)</f>
        <v>http://[2409:8087:1e01:20::3]/PLTV/11/224/3221226147/1.m3u8</v>
      </c>
      <c r="D115" t="str">
        <f>LEFT(A115,B115-1)</f>
        <v>CCTV-15</v>
      </c>
    </row>
    <row r="116" spans="1:4" x14ac:dyDescent="0.25">
      <c r="A116" t="s">
        <v>1961</v>
      </c>
      <c r="B116">
        <f>FIND(",",A116)</f>
        <v>7</v>
      </c>
      <c r="C116" t="str">
        <f>MID(A116,B116+1,LEN(A116)-B116)</f>
        <v>http://[2409:8087:1e01:20::3]/PLTV/11/224/3221226148/1.m3u8</v>
      </c>
      <c r="D116" t="str">
        <f>LEFT(A116,B116-1)</f>
        <v>CCTV-6</v>
      </c>
    </row>
    <row r="117" spans="1:4" x14ac:dyDescent="0.25">
      <c r="A117" t="s">
        <v>1999</v>
      </c>
      <c r="B117">
        <f>FIND(",",A117)</f>
        <v>5</v>
      </c>
      <c r="C117" t="str">
        <f>MID(A117,B117+1,LEN(A117)-B117)</f>
        <v>http://[2409:8087:1e01:20::3]/PLTV/11/224/3221226149/1.m3u8</v>
      </c>
      <c r="D117" t="str">
        <f>LEFT(A117,B117-1)</f>
        <v>吉林卫视</v>
      </c>
    </row>
    <row r="118" spans="1:4" x14ac:dyDescent="0.25">
      <c r="A118" t="s">
        <v>1975</v>
      </c>
      <c r="B118">
        <f>FIND(",",A118)</f>
        <v>8</v>
      </c>
      <c r="C118" t="str">
        <f>MID(A118,B118+1,LEN(A118)-B118)</f>
        <v>http://[2409:8087:1e01:20::3]/PLTV/11/224/3221226150/1.m3u8</v>
      </c>
      <c r="D118" t="str">
        <f>LEFT(A118,B118-1)</f>
        <v>CCTV-14</v>
      </c>
    </row>
    <row r="119" spans="1:4" x14ac:dyDescent="0.25">
      <c r="A119" t="s">
        <v>2006</v>
      </c>
      <c r="B119">
        <f>FIND(",",A119)</f>
        <v>5</v>
      </c>
      <c r="C119" t="str">
        <f>MID(A119,B119+1,LEN(A119)-B119)</f>
        <v>http://[2409:8087:1e01:20::3]/PLTV/11/224/3221226151/1.m3u8</v>
      </c>
      <c r="D119" t="str">
        <f>LEFT(A119,B119-1)</f>
        <v>云南卫视</v>
      </c>
    </row>
    <row r="120" spans="1:4" x14ac:dyDescent="0.25">
      <c r="A120" t="s">
        <v>2009</v>
      </c>
      <c r="B120">
        <f>FIND(",",A120)</f>
        <v>5</v>
      </c>
      <c r="C120" t="str">
        <f>MID(A120,B120+1,LEN(A120)-B120)</f>
        <v>http://[2409:8087:1e01:20::3]/PLTV/11/224/3221226152/1.m3u8</v>
      </c>
      <c r="D120" t="str">
        <f>LEFT(A120,B120-1)</f>
        <v>四川卫视</v>
      </c>
    </row>
    <row r="121" spans="1:4" x14ac:dyDescent="0.25">
      <c r="A121" t="s">
        <v>2014</v>
      </c>
      <c r="B121">
        <f>FIND(",",A121)</f>
        <v>7</v>
      </c>
      <c r="C121" t="str">
        <f>MID(A121,B121+1,LEN(A121)-B121)</f>
        <v>http://[2409:8087:1e01:20::3]/PLTV/11/224/3221226153/1.m3u8</v>
      </c>
      <c r="D121" t="str">
        <f>LEFT(A121,B121-1)</f>
        <v>CETV-4</v>
      </c>
    </row>
    <row r="122" spans="1:4" x14ac:dyDescent="0.25">
      <c r="A122" t="s">
        <v>2010</v>
      </c>
      <c r="B122">
        <f>FIND(",",A122)</f>
        <v>5</v>
      </c>
      <c r="C122" t="str">
        <f>MID(A122,B122+1,LEN(A122)-B122)</f>
        <v>http://[2409:8087:1e01:20::3]/PLTV/11/224/3221226154/1.m3u8</v>
      </c>
      <c r="D122" t="str">
        <f>LEFT(A122,B122-1)</f>
        <v>海南卫视</v>
      </c>
    </row>
    <row r="123" spans="1:4" x14ac:dyDescent="0.25">
      <c r="A123" t="s">
        <v>2089</v>
      </c>
      <c r="B123">
        <f>FIND(",",A123)</f>
        <v>9</v>
      </c>
      <c r="C123" t="str">
        <f>MID(A123,B123+1,LEN(A123)-B123)</f>
        <v>http://[2409:8087:1e01:20::3]/PLTV/11/224/3221226155/1.m3u8</v>
      </c>
      <c r="D123" t="str">
        <f>LEFT(A123,B123-1)</f>
        <v>city都市剧场</v>
      </c>
    </row>
    <row r="124" spans="1:4" x14ac:dyDescent="0.25">
      <c r="A124" t="s">
        <v>2093</v>
      </c>
      <c r="B124">
        <f>FIND(",",A124)</f>
        <v>3</v>
      </c>
      <c r="C124" t="str">
        <f>MID(A124,B124+1,LEN(A124)-B124)</f>
        <v>http://[2409:8087:1e01:20::3]/PLTV/11/224/3221226157/1.m3u8</v>
      </c>
      <c r="D124" t="str">
        <f>LEFT(A124,B124-1)</f>
        <v>乐游</v>
      </c>
    </row>
    <row r="125" spans="1:4" x14ac:dyDescent="0.25">
      <c r="A125" t="s">
        <v>2080</v>
      </c>
      <c r="B125">
        <f>FIND(",",A125)</f>
        <v>5</v>
      </c>
      <c r="C125" t="str">
        <f>MID(A125,B125+1,LEN(A125)-B125)</f>
        <v>http://[2409:8087:1e01:20::3]/PLTV/11/224/3221226161/1.m3u8</v>
      </c>
      <c r="D125" t="str">
        <f>LEFT(A125,B125-1)</f>
        <v>哈哈炫动</v>
      </c>
    </row>
    <row r="126" spans="1:4" x14ac:dyDescent="0.25">
      <c r="A126" t="s">
        <v>1953</v>
      </c>
      <c r="B126">
        <f>FIND(",",A126)</f>
        <v>7</v>
      </c>
      <c r="C126" t="str">
        <f>MID(A126,B126+1,LEN(A126)-B126)</f>
        <v>http://[2409:8087:1e01:20::3]/PLTV/11/224/3221226163/1.m3u8</v>
      </c>
      <c r="D126" t="str">
        <f>LEFT(A126,B126-1)</f>
        <v>CCTV-1</v>
      </c>
    </row>
    <row r="127" spans="1:4" x14ac:dyDescent="0.25">
      <c r="A127" t="s">
        <v>1956</v>
      </c>
      <c r="B127">
        <f>FIND(",",A127)</f>
        <v>7</v>
      </c>
      <c r="C127" t="str">
        <f>MID(A127,B127+1,LEN(A127)-B127)</f>
        <v>http://[2409:8087:1e01:20::3]/PLTV/11/224/3221226165/1.m3u8</v>
      </c>
      <c r="D127" t="str">
        <f>LEFT(A127,B127-1)</f>
        <v>CCTV-3</v>
      </c>
    </row>
    <row r="128" spans="1:4" x14ac:dyDescent="0.25">
      <c r="A128" t="s">
        <v>1966</v>
      </c>
      <c r="B128">
        <f>FIND(",",A128)</f>
        <v>7</v>
      </c>
      <c r="C128" t="str">
        <f>MID(A128,B128+1,LEN(A128)-B128)</f>
        <v>http://[2409:8087:1e01:20::3]/PLTV/11/224/3221226167/1.m3u8</v>
      </c>
      <c r="D128" t="str">
        <f>LEFT(A128,B128-1)</f>
        <v>CCTV-8</v>
      </c>
    </row>
    <row r="129" spans="1:4" x14ac:dyDescent="0.25">
      <c r="A129" t="s">
        <v>1968</v>
      </c>
      <c r="B129">
        <f>FIND(",",A129)</f>
        <v>8</v>
      </c>
      <c r="C129" t="str">
        <f>MID(A129,B129+1,LEN(A129)-B129)</f>
        <v>http://[2409:8087:1e01:20::3]/PLTV/11/224/3221226169/1.m3u8</v>
      </c>
      <c r="D129" t="str">
        <f>LEFT(A129,B129-1)</f>
        <v>CCTV-10</v>
      </c>
    </row>
    <row r="130" spans="1:4" x14ac:dyDescent="0.25">
      <c r="A130" t="s">
        <v>2011</v>
      </c>
      <c r="B130">
        <f>FIND(",",A130)</f>
        <v>5</v>
      </c>
      <c r="C130" t="str">
        <f>MID(A130,B130+1,LEN(A130)-B130)</f>
        <v>http://[2409:8087:1e01:20::3]/PLTV/11/224/3221226171/1.m3u8</v>
      </c>
      <c r="D130" t="str">
        <f>LEFT(A130,B130-1)</f>
        <v>重庆卫视</v>
      </c>
    </row>
    <row r="131" spans="1:4" x14ac:dyDescent="0.25">
      <c r="A131" t="s">
        <v>2012</v>
      </c>
      <c r="B131">
        <f>FIND(",",A131)</f>
        <v>5</v>
      </c>
      <c r="C131" t="str">
        <f>MID(A131,B131+1,LEN(A131)-B131)</f>
        <v>http://[2409:8087:1e01:20::3]/PLTV/11/224/3221226173/1.m3u8</v>
      </c>
      <c r="D131" t="str">
        <f>LEFT(A131,B131-1)</f>
        <v>贵州卫视</v>
      </c>
    </row>
    <row r="132" spans="1:4" x14ac:dyDescent="0.25">
      <c r="A132" t="s">
        <v>2081</v>
      </c>
      <c r="B132">
        <f>FIND(",",A132)</f>
        <v>5</v>
      </c>
      <c r="C132" t="str">
        <f>MID(A132,B132+1,LEN(A132)-B132)</f>
        <v>http://[2409:8087:1e01:20::3]/PLTV/11/224/3221226175/1.m3u8</v>
      </c>
      <c r="D132" t="str">
        <f>LEFT(A132,B132-1)</f>
        <v>哈哈炫动</v>
      </c>
    </row>
    <row r="133" spans="1:4" x14ac:dyDescent="0.25">
      <c r="A133" t="s">
        <v>2356</v>
      </c>
      <c r="B133">
        <f>FIND(",",A133)</f>
        <v>6</v>
      </c>
      <c r="C133" t="str">
        <f>MID(A133,B133+1,LEN(A133)-B133)</f>
        <v>http://183.207.248.71/cntv/live1/CCTV-1/cctv-1</v>
      </c>
      <c r="D133" t="str">
        <f>LEFT(A133,B133-1)</f>
        <v>CCTV1</v>
      </c>
    </row>
    <row r="134" spans="1:4" x14ac:dyDescent="0.25">
      <c r="A134" t="s">
        <v>2366</v>
      </c>
      <c r="B134">
        <f>FIND(",",A134)</f>
        <v>7</v>
      </c>
      <c r="C134" t="str">
        <f>MID(A134,B134+1,LEN(A134)-B134)</f>
        <v>http://183.207.248.71/cntv/live1/CCTV-10/cctv-10</v>
      </c>
      <c r="D134" t="str">
        <f>LEFT(A134,B134-1)</f>
        <v>CCTV10</v>
      </c>
    </row>
    <row r="135" spans="1:4" x14ac:dyDescent="0.25">
      <c r="A135" t="s">
        <v>2367</v>
      </c>
      <c r="B135">
        <f>FIND(",",A135)</f>
        <v>7</v>
      </c>
      <c r="C135" t="str">
        <f>MID(A135,B135+1,LEN(A135)-B135)</f>
        <v>http://183.207.248.71/cntv/live1/CCTV-12/cctv-12</v>
      </c>
      <c r="D135" t="str">
        <f>LEFT(A135,B135-1)</f>
        <v>CCTV12</v>
      </c>
    </row>
    <row r="136" spans="1:4" x14ac:dyDescent="0.25">
      <c r="A136" t="s">
        <v>2368</v>
      </c>
      <c r="B136">
        <f>FIND(",",A136)</f>
        <v>7</v>
      </c>
      <c r="C136" t="str">
        <f>MID(A136,B136+1,LEN(A136)-B136)</f>
        <v>http://183.207.248.71/cntv/live1/CCTV-13/cctv-13</v>
      </c>
      <c r="D136" t="str">
        <f>LEFT(A136,B136-1)</f>
        <v>CCTV13</v>
      </c>
    </row>
    <row r="137" spans="1:4" x14ac:dyDescent="0.25">
      <c r="A137" t="s">
        <v>2369</v>
      </c>
      <c r="B137">
        <f>FIND(",",A137)</f>
        <v>7</v>
      </c>
      <c r="C137" t="str">
        <f>MID(A137,B137+1,LEN(A137)-B137)</f>
        <v>http://183.207.248.71/cntv/live1/CCTV-14/cctv-14</v>
      </c>
      <c r="D137" t="str">
        <f>LEFT(A137,B137-1)</f>
        <v>CCTV14</v>
      </c>
    </row>
    <row r="138" spans="1:4" x14ac:dyDescent="0.25">
      <c r="A138" t="s">
        <v>2357</v>
      </c>
      <c r="B138">
        <f>FIND(",",A138)</f>
        <v>6</v>
      </c>
      <c r="C138" t="str">
        <f>MID(A138,B138+1,LEN(A138)-B138)</f>
        <v>http://183.207.248.71/cntv/live1/CCTV-2/cctv-2</v>
      </c>
      <c r="D138" t="str">
        <f>LEFT(A138,B138-1)</f>
        <v>CCTV2</v>
      </c>
    </row>
    <row r="139" spans="1:4" x14ac:dyDescent="0.25">
      <c r="A139" t="s">
        <v>2358</v>
      </c>
      <c r="B139">
        <f>FIND(",",A139)</f>
        <v>6</v>
      </c>
      <c r="C139" t="str">
        <f>MID(A139,B139+1,LEN(A139)-B139)</f>
        <v>http://183.207.248.71/cntv/live1/CCTV-3/cctv-3</v>
      </c>
      <c r="D139" t="str">
        <f>LEFT(A139,B139-1)</f>
        <v>CCTV3</v>
      </c>
    </row>
    <row r="140" spans="1:4" x14ac:dyDescent="0.25">
      <c r="A140" t="s">
        <v>2359</v>
      </c>
      <c r="B140">
        <f>FIND(",",A140)</f>
        <v>6</v>
      </c>
      <c r="C140" t="str">
        <f>MID(A140,B140+1,LEN(A140)-B140)</f>
        <v>http://183.207.248.71/cntv/live1/CCTV-4/cctv-4</v>
      </c>
      <c r="D140" t="str">
        <f>LEFT(A140,B140-1)</f>
        <v>CCTV4</v>
      </c>
    </row>
    <row r="141" spans="1:4" x14ac:dyDescent="0.25">
      <c r="A141" t="s">
        <v>2360</v>
      </c>
      <c r="B141">
        <f>FIND(",",A141)</f>
        <v>6</v>
      </c>
      <c r="C141" t="str">
        <f>MID(A141,B141+1,LEN(A141)-B141)</f>
        <v>http://183.207.248.71/cntv/live1/CCTV-5/cctv-5</v>
      </c>
      <c r="D141" t="str">
        <f>LEFT(A141,B141-1)</f>
        <v>CCTV5</v>
      </c>
    </row>
    <row r="142" spans="1:4" x14ac:dyDescent="0.25">
      <c r="A142" t="s">
        <v>2361</v>
      </c>
      <c r="B142">
        <f>FIND(",",A142)</f>
        <v>7</v>
      </c>
      <c r="C142" t="str">
        <f>MID(A142,B142+1,LEN(A142)-B142)</f>
        <v>http://183.207.248.71/cntv/live1/CCTV5+/hdcctv05plus</v>
      </c>
      <c r="D142" t="str">
        <f>LEFT(A142,B142-1)</f>
        <v>CCTV5+</v>
      </c>
    </row>
    <row r="143" spans="1:4" x14ac:dyDescent="0.25">
      <c r="A143" t="s">
        <v>2362</v>
      </c>
      <c r="B143">
        <f>FIND(",",A143)</f>
        <v>6</v>
      </c>
      <c r="C143" t="str">
        <f>MID(A143,B143+1,LEN(A143)-B143)</f>
        <v>http://183.207.248.71/cntv/live1/CCTV-6/cctv-6</v>
      </c>
      <c r="D143" t="str">
        <f>LEFT(A143,B143-1)</f>
        <v>CCTV6</v>
      </c>
    </row>
    <row r="144" spans="1:4" x14ac:dyDescent="0.25">
      <c r="A144" t="s">
        <v>2364</v>
      </c>
      <c r="B144">
        <f>FIND(",",A144)</f>
        <v>6</v>
      </c>
      <c r="C144" t="str">
        <f>MID(A144,B144+1,LEN(A144)-B144)</f>
        <v>http://183.207.248.71/cntv/live1/CCTV-7/cctv-7</v>
      </c>
      <c r="D144" t="str">
        <f>LEFT(A144,B144-1)</f>
        <v>CCTV7</v>
      </c>
    </row>
    <row r="145" spans="1:4" x14ac:dyDescent="0.25">
      <c r="A145" t="s">
        <v>2365</v>
      </c>
      <c r="B145">
        <f>FIND(",",A145)</f>
        <v>6</v>
      </c>
      <c r="C145" t="str">
        <f>MID(A145,B145+1,LEN(A145)-B145)</f>
        <v>http://183.207.248.71/cntv/live1/CCTV-9/cctv-news</v>
      </c>
      <c r="D145" t="str">
        <f>LEFT(A145,B145-1)</f>
        <v>CCTV9</v>
      </c>
    </row>
    <row r="146" spans="1:4" x14ac:dyDescent="0.25">
      <c r="A146" t="s">
        <v>2380</v>
      </c>
      <c r="B146">
        <f>FIND(",",A146)</f>
        <v>5</v>
      </c>
      <c r="C146" t="str">
        <f>MID(A146,B146+1,LEN(A146)-B146)</f>
        <v>http://183.207.248.71/cntv/live1/NewTV电竞/wmyx</v>
      </c>
      <c r="D146" t="str">
        <f>LEFT(A146,B146-1)</f>
        <v>哒啵赛事</v>
      </c>
    </row>
    <row r="147" spans="1:4" x14ac:dyDescent="0.25">
      <c r="A147" t="s">
        <v>2370</v>
      </c>
      <c r="B147">
        <f>FIND(",",A147)</f>
        <v>5</v>
      </c>
      <c r="C147" t="str">
        <f>MID(A147,B147+1,LEN(A147)-B147)</f>
        <v>http://183.207.248.71/cntv/live1/安徽卫视/anhuistv</v>
      </c>
      <c r="D147" t="str">
        <f>LEFT(A147,B147-1)</f>
        <v>安徽卫视</v>
      </c>
    </row>
    <row r="148" spans="1:4" x14ac:dyDescent="0.25">
      <c r="A148" t="s">
        <v>2383</v>
      </c>
      <c r="B148">
        <f>FIND(",",A148)</f>
        <v>5</v>
      </c>
      <c r="C148" t="str">
        <f>MID(A148,B148+1,LEN(A148)-B148)</f>
        <v>http://183.207.248.71/cntv/live1/北京纪实频道超/HD-8000k-1080P-beijingjishi</v>
      </c>
      <c r="D148" t="str">
        <f>LEFT(A148,B148-1)</f>
        <v>北京纪实</v>
      </c>
    </row>
    <row r="149" spans="1:4" x14ac:dyDescent="0.25">
      <c r="A149" t="s">
        <v>2382</v>
      </c>
      <c r="B149">
        <f>FIND(",",A149)</f>
        <v>5</v>
      </c>
      <c r="C149" t="str">
        <f>MID(A149,B149+1,LEN(A149)-B149)</f>
        <v>http://183.207.248.71/cntv/live1/动画王国/donghuawg</v>
      </c>
      <c r="D149" t="str">
        <f>LEFT(A149,B149-1)</f>
        <v>黑莓动画</v>
      </c>
    </row>
    <row r="150" spans="1:4" x14ac:dyDescent="0.25">
      <c r="A150" t="s">
        <v>2384</v>
      </c>
      <c r="B150">
        <f>FIND(",",A150)</f>
        <v>5</v>
      </c>
      <c r="C150" t="str">
        <f>MID(A150,B150+1,LEN(A150)-B150)</f>
        <v>http://183.207.248.71/cntv/live1/风尚购物/fengshanggw</v>
      </c>
      <c r="D150" t="str">
        <f>LEFT(A150,B150-1)</f>
        <v>风尚购物</v>
      </c>
    </row>
    <row r="151" spans="1:4" x14ac:dyDescent="0.25">
      <c r="A151" t="s">
        <v>2374</v>
      </c>
      <c r="B151">
        <f>FIND(",",A151)</f>
        <v>6</v>
      </c>
      <c r="C151" t="str">
        <f>MID(A151,B151+1,LEN(A151)-B151)</f>
        <v>http://183.207.248.71/cntv/live1/黑龙江卫视/HD-2500k-1080P-heilongjiangstv</v>
      </c>
      <c r="D151" t="str">
        <f>LEFT(A151,B151-1)</f>
        <v>黑龙江卫视</v>
      </c>
    </row>
    <row r="152" spans="1:4" x14ac:dyDescent="0.25">
      <c r="A152" t="s">
        <v>2385</v>
      </c>
      <c r="B152">
        <f>FIND(",",A152)</f>
        <v>5</v>
      </c>
      <c r="C152" t="str">
        <f>MID(A152,B152+1,LEN(A152)-B152)</f>
        <v>http://183.207.248.71/cntv/live1/家有购物/SD-1500k-576P-jiayougw</v>
      </c>
      <c r="D152" t="str">
        <f>LEFT(A152,B152-1)</f>
        <v>家有购物</v>
      </c>
    </row>
    <row r="153" spans="1:4" x14ac:dyDescent="0.25">
      <c r="A153" t="s">
        <v>2376</v>
      </c>
      <c r="B153">
        <f>FIND(",",A153)</f>
        <v>5</v>
      </c>
      <c r="C153" t="str">
        <f>MID(A153,B153+1,LEN(A153)-B153)</f>
        <v>http://183.207.248.71/cntv/live1/江西卫视/jiangxistv</v>
      </c>
      <c r="D153" t="str">
        <f>LEFT(A153,B153-1)</f>
        <v>江西卫视</v>
      </c>
    </row>
    <row r="154" spans="1:4" x14ac:dyDescent="0.25">
      <c r="A154" t="s">
        <v>2381</v>
      </c>
      <c r="B154">
        <f>FIND(",",A154)</f>
        <v>5</v>
      </c>
      <c r="C154" t="str">
        <f>MID(A154,B154+1,LEN(A154)-B154)</f>
        <v>http://183.207.248.71/cntv/live1/精品电影/jdianying</v>
      </c>
      <c r="D154" t="str">
        <f>LEFT(A154,B154-1)</f>
        <v>黑莓电影</v>
      </c>
    </row>
    <row r="155" spans="1:4" x14ac:dyDescent="0.25">
      <c r="A155" t="s">
        <v>2379</v>
      </c>
      <c r="B155">
        <f>FIND(",",A155)</f>
        <v>10</v>
      </c>
      <c r="C155" t="str">
        <f>MID(A155,B155+1,LEN(A155)-B155)</f>
        <v>http://183.207.248.71/cntv/live1/炫舞未来/HD-4000k-1080P-xwwl</v>
      </c>
      <c r="D155" t="str">
        <f>LEFT(A155,B155-1)</f>
        <v>NewTV炫舞未来</v>
      </c>
    </row>
    <row r="156" spans="1:4" x14ac:dyDescent="0.25">
      <c r="A156" t="s">
        <v>2353</v>
      </c>
      <c r="B156">
        <f>FIND(",",A156)</f>
        <v>5</v>
      </c>
      <c r="C156" t="str">
        <f>MID(A156,B156+1,LEN(A156)-B156)</f>
        <v>http://223.110.241.139:6610/cntv/live1/donghuawg/donghuawg</v>
      </c>
      <c r="D156" t="str">
        <f>LEFT(A156,B156-1)</f>
        <v>黑莓动画</v>
      </c>
    </row>
    <row r="157" spans="1:4" x14ac:dyDescent="0.25">
      <c r="A157" t="s">
        <v>2318</v>
      </c>
      <c r="B157">
        <f>FIND(",",A157)</f>
        <v>6</v>
      </c>
      <c r="C157" t="str">
        <f>MID(A157,B157+1,LEN(A157)-B157)</f>
        <v>http://223.110.241.139:6610/cntv/live1/H265-8000k-1080P-cctv1/H265-8000k-1080P-cctv1</v>
      </c>
      <c r="D157" t="str">
        <f>LEFT(A157,B157-1)</f>
        <v>CCTV1</v>
      </c>
    </row>
    <row r="158" spans="1:4" x14ac:dyDescent="0.25">
      <c r="A158" t="s">
        <v>2325</v>
      </c>
      <c r="B158">
        <f>FIND(",",A158)</f>
        <v>7</v>
      </c>
      <c r="C158" t="str">
        <f>MID(A158,B158+1,LEN(A158)-B158)</f>
        <v>http://223.110.241.139:6610/cntv/live1/H265-8000k-1080P-cctv13/H265-8000k-1080P-cctv13</v>
      </c>
      <c r="D158" t="str">
        <f>LEFT(A158,B158-1)</f>
        <v>CCTV13</v>
      </c>
    </row>
    <row r="159" spans="1:4" x14ac:dyDescent="0.25">
      <c r="A159" t="s">
        <v>2319</v>
      </c>
      <c r="B159">
        <f>FIND(",",A159)</f>
        <v>6</v>
      </c>
      <c r="C159" t="str">
        <f>MID(A159,B159+1,LEN(A159)-B159)</f>
        <v>http://223.110.241.139:6610/cntv/live1/H265-8000k-1080P-cctv2/H265-8000k-1080P-cctv2</v>
      </c>
      <c r="D159" t="str">
        <f>LEFT(A159,B159-1)</f>
        <v>CCTV2</v>
      </c>
    </row>
    <row r="160" spans="1:4" x14ac:dyDescent="0.25">
      <c r="A160" t="s">
        <v>2320</v>
      </c>
      <c r="B160">
        <f>FIND(",",A160)</f>
        <v>6</v>
      </c>
      <c r="C160" t="str">
        <f>MID(A160,B160+1,LEN(A160)-B160)</f>
        <v>http://223.110.241.139:6610/cntv/live1/H265-8000k-1080P-cctv3/H265-8000k-1080P-cctv3</v>
      </c>
      <c r="D160" t="str">
        <f>LEFT(A160,B160-1)</f>
        <v>CCTV3</v>
      </c>
    </row>
    <row r="161" spans="1:4" x14ac:dyDescent="0.25">
      <c r="A161" t="s">
        <v>2321</v>
      </c>
      <c r="B161">
        <f>FIND(",",A161)</f>
        <v>6</v>
      </c>
      <c r="C161" t="str">
        <f>MID(A161,B161+1,LEN(A161)-B161)</f>
        <v>http://223.110.241.139:6610/cntv/live1/H265-8000k-1080P-cctv4/H265-8000k-1080P-cctv4</v>
      </c>
      <c r="D161" t="str">
        <f>LEFT(A161,B161-1)</f>
        <v>CCTV4</v>
      </c>
    </row>
    <row r="162" spans="1:4" x14ac:dyDescent="0.25">
      <c r="A162" t="s">
        <v>2322</v>
      </c>
      <c r="B162">
        <f>FIND(",",A162)</f>
        <v>6</v>
      </c>
      <c r="C162" t="str">
        <f>MID(A162,B162+1,LEN(A162)-B162)</f>
        <v>http://223.110.241.139:6610/cntv/live1/H265-8000k-1080P-cctv5/H265-8000k-1080P-cctv5</v>
      </c>
      <c r="D162" t="str">
        <f>LEFT(A162,B162-1)</f>
        <v>CCTV5</v>
      </c>
    </row>
    <row r="163" spans="1:4" x14ac:dyDescent="0.25">
      <c r="A163" t="s">
        <v>2323</v>
      </c>
      <c r="B163">
        <f>FIND(",",A163)</f>
        <v>6</v>
      </c>
      <c r="C163" t="str">
        <f>MID(A163,B163+1,LEN(A163)-B163)</f>
        <v>http://223.110.241.139:6610/cntv/live1/H265-8000k-1080P-cctv6/H265-8000k-1080P-cctv6</v>
      </c>
      <c r="D163" t="str">
        <f>LEFT(A163,B163-1)</f>
        <v>CCTV6</v>
      </c>
    </row>
    <row r="164" spans="1:4" x14ac:dyDescent="0.25">
      <c r="A164" t="s">
        <v>2324</v>
      </c>
      <c r="B164">
        <f>FIND(",",A164)</f>
        <v>6</v>
      </c>
      <c r="C164" t="str">
        <f>MID(A164,B164+1,LEN(A164)-B164)</f>
        <v>http://223.110.241.139:6610/cntv/live1/H265-8000k-1080P-cctv8/H265-8000k-1080P-cctv8</v>
      </c>
      <c r="D164" t="str">
        <f>LEFT(A164,B164-1)</f>
        <v>CCTV8</v>
      </c>
    </row>
    <row r="165" spans="1:4" x14ac:dyDescent="0.25">
      <c r="A165" t="s">
        <v>2327</v>
      </c>
      <c r="B165">
        <f>FIND(",",A165)</f>
        <v>5</v>
      </c>
      <c r="C165" t="str">
        <f>MID(A165,B165+1,LEN(A165)-B165)</f>
        <v>http://223.110.241.139:6610/cntv/live1/HD-2500k-1080P-guangdongstv/HD-2500k-1080P-guangdongstv</v>
      </c>
      <c r="D165" t="str">
        <f>LEFT(A165,B165-1)</f>
        <v>广东卫视</v>
      </c>
    </row>
    <row r="166" spans="1:4" x14ac:dyDescent="0.25">
      <c r="A166" t="s">
        <v>2332</v>
      </c>
      <c r="B166">
        <f>FIND(",",A166)</f>
        <v>5</v>
      </c>
      <c r="C166" t="str">
        <f>MID(A166,B166+1,LEN(A166)-B166)</f>
        <v>http://223.110.241.139:6610/cntv/live1/HD-2500k-1080P-hubeistv/HD-2500k-1080P-hubeistv</v>
      </c>
      <c r="D166" t="str">
        <f>LEFT(A166,B166-1)</f>
        <v>湖北卫视</v>
      </c>
    </row>
    <row r="167" spans="1:4" x14ac:dyDescent="0.25">
      <c r="A167" t="s">
        <v>2329</v>
      </c>
      <c r="B167">
        <f>FIND(",",A167)</f>
        <v>5</v>
      </c>
      <c r="C167" t="str">
        <f>MID(A167,B167+1,LEN(A167)-B167)</f>
        <v>http://223.110.241.139:6610/cntv/live1/HD-2500k-1080P-shenzhenstv/HD-2500k-1080P-shenzhenstv</v>
      </c>
      <c r="D167" t="str">
        <f>LEFT(A167,B167-1)</f>
        <v>深圳卫视</v>
      </c>
    </row>
    <row r="168" spans="1:4" x14ac:dyDescent="0.25">
      <c r="A168" t="s">
        <v>2328</v>
      </c>
      <c r="B168">
        <f>FIND(",",A168)</f>
        <v>5</v>
      </c>
      <c r="C168" t="str">
        <f>MID(A168,B168+1,LEN(A168)-B168)</f>
        <v>http://223.110.241.139:6610/cntv/live1/HD-2500k-1080P-tianjinstv/HD-2500k-1080P-tianjinstv</v>
      </c>
      <c r="D168" t="str">
        <f>LEFT(A168,B168-1)</f>
        <v>天津卫视</v>
      </c>
    </row>
    <row r="169" spans="1:4" x14ac:dyDescent="0.25">
      <c r="A169" t="s">
        <v>2341</v>
      </c>
      <c r="B169">
        <f>FIND(",",A169)</f>
        <v>5</v>
      </c>
      <c r="C169" t="str">
        <f>MID(A169,B169+1,LEN(A169)-B169)</f>
        <v>http://223.110.241.139:6610/cntv/live1/HD-4000k-1080P-xwwl/HD-4000k-1080P-xwwl</v>
      </c>
      <c r="D169" t="str">
        <f>LEFT(A169,B169-1)</f>
        <v>炫舞未来</v>
      </c>
    </row>
    <row r="170" spans="1:4" x14ac:dyDescent="0.25">
      <c r="A170" t="s">
        <v>2326</v>
      </c>
      <c r="B170">
        <f>FIND(",",A170)</f>
        <v>7</v>
      </c>
      <c r="C170" t="str">
        <f>MID(A170,B170+1,LEN(A170)-B170)</f>
        <v>http://223.110.241.139:6610/cntv/live1/HD-8000k-1080P-cctv16/HD-8000k-1080P-cctv16</v>
      </c>
      <c r="D170" t="str">
        <f>LEFT(A170,B170-1)</f>
        <v>CCTV16</v>
      </c>
    </row>
    <row r="171" spans="1:4" x14ac:dyDescent="0.25">
      <c r="A171" t="s">
        <v>2333</v>
      </c>
      <c r="B171">
        <f>FIND(",",A171)</f>
        <v>6</v>
      </c>
      <c r="C171" t="str">
        <f>MID(A171,B171+1,LEN(A171)-B171)</f>
        <v>http://223.110.241.139:6610/cntv/live1/HD-8000k-1080P-heilongjiangstv/HD-2500k-1080P-heilongjiangstv</v>
      </c>
      <c r="D171" t="str">
        <f>LEFT(A171,B171-1)</f>
        <v>黑龙江卫视</v>
      </c>
    </row>
    <row r="172" spans="1:4" x14ac:dyDescent="0.25">
      <c r="A172" t="s">
        <v>2354</v>
      </c>
      <c r="B172">
        <f>FIND(",",A172)</f>
        <v>5</v>
      </c>
      <c r="C172" t="str">
        <f>MID(A172,B172+1,LEN(A172)-B172)</f>
        <v>http://223.110.241.139:6610/cntv/live1/HD-8000k-1080P-miguaoyun1/HD-8000k-1080P-miguaoyun1</v>
      </c>
      <c r="D172" t="str">
        <f>LEFT(A172,B172-1)</f>
        <v>睛彩篮球</v>
      </c>
    </row>
    <row r="173" spans="1:4" x14ac:dyDescent="0.25">
      <c r="A173" t="s">
        <v>2355</v>
      </c>
      <c r="B173">
        <f>FIND(",",A173)</f>
        <v>5</v>
      </c>
      <c r="C173" t="str">
        <f>MID(A173,B173+1,LEN(A173)-B173)</f>
        <v>http://223.110.241.139:6610/cntv/live1/HD-8000k-1080P-miguaoyun2/HD-8000k-1080P-miguaoyun2</v>
      </c>
      <c r="D173" t="str">
        <f>LEFT(A173,B173-1)</f>
        <v>睛彩竞技</v>
      </c>
    </row>
    <row r="174" spans="1:4" x14ac:dyDescent="0.25">
      <c r="A174" t="s">
        <v>2342</v>
      </c>
      <c r="B174">
        <f>FIND(",",A174)</f>
        <v>5</v>
      </c>
      <c r="C174" t="str">
        <f>MID(A174,B174+1,LEN(A174)-B174)</f>
        <v>http://223.110.241.139:6610/cntv/live1/HD-8000k-1080P-Supermovie/HD-8000k-1080P-Supermovie</v>
      </c>
      <c r="D174" t="str">
        <f>LEFT(A174,B174-1)</f>
        <v>黑莓电影</v>
      </c>
    </row>
    <row r="175" spans="1:4" x14ac:dyDescent="0.25">
      <c r="A175" t="s">
        <v>2331</v>
      </c>
      <c r="B175">
        <f>FIND(",",A175)</f>
        <v>5</v>
      </c>
      <c r="C175" t="str">
        <f>MID(A175,B175+1,LEN(A175)-B175)</f>
        <v>http://223.110.241.139:6610/cntv/live1/liaoningstv/liaoningstv</v>
      </c>
      <c r="D175" t="str">
        <f>LEFT(A175,B175-1)</f>
        <v>辽宁卫视</v>
      </c>
    </row>
    <row r="176" spans="1:4" x14ac:dyDescent="0.25">
      <c r="A176" t="s">
        <v>2343</v>
      </c>
      <c r="B176">
        <f>FIND(",",A176)</f>
        <v>5</v>
      </c>
      <c r="C176" t="str">
        <f>MID(A176,B176+1,LEN(A176)-B176)</f>
        <v>http://223.110.241.139:6610/cntv/live1/n-aiqingxj/n-aiqingxj</v>
      </c>
      <c r="D176" t="str">
        <f>LEFT(A176,B176-1)</f>
        <v>爱情喜剧</v>
      </c>
    </row>
    <row r="177" spans="1:4" x14ac:dyDescent="0.25">
      <c r="A177" t="s">
        <v>2352</v>
      </c>
      <c r="B177">
        <f>FIND(",",A177)</f>
        <v>5</v>
      </c>
      <c r="C177" t="str">
        <f>MID(A177,B177+1,LEN(A177)-B177)</f>
        <v>http://223.110.241.139:6610/cntv/live1/n-cmlapo/n-cmlapo</v>
      </c>
      <c r="D177" t="str">
        <f>LEFT(A177,B177-1)</f>
        <v>潮妈辣婆</v>
      </c>
    </row>
    <row r="178" spans="1:4" x14ac:dyDescent="0.25">
      <c r="A178" t="s">
        <v>2337</v>
      </c>
      <c r="B178">
        <f>FIND(",",A178)</f>
        <v>5</v>
      </c>
      <c r="C178" t="str">
        <f>MID(A178,B178+1,LEN(A178)-B178)</f>
        <v>http://223.110.241.139:6610/cntv/live1/n-dongzuody/n-dongzuody</v>
      </c>
      <c r="D178" t="str">
        <f>LEFT(A178,B178-1)</f>
        <v>动作电影</v>
      </c>
    </row>
    <row r="179" spans="1:4" x14ac:dyDescent="0.25">
      <c r="A179" t="s">
        <v>2345</v>
      </c>
      <c r="B179">
        <f>FIND(",",A179)</f>
        <v>5</v>
      </c>
      <c r="C179" t="str">
        <f>MID(A179,B179+1,LEN(A179)-B179)</f>
        <v>http://223.110.241.139:6610/cntv/live1/n-gzkongfu/n-gzkongfu</v>
      </c>
      <c r="D179" t="str">
        <f>LEFT(A179,B179-1)</f>
        <v>中国功夫</v>
      </c>
    </row>
    <row r="180" spans="1:4" x14ac:dyDescent="0.25">
      <c r="A180" t="s">
        <v>2344</v>
      </c>
      <c r="B180">
        <f>FIND(",",A180)</f>
        <v>5</v>
      </c>
      <c r="C180" t="str">
        <f>MID(A180,B180+1,LEN(A180)-B180)</f>
        <v>http://223.110.241.139:6610/cntv/live1/n-jdaju/n-jdaju</v>
      </c>
      <c r="D180" t="str">
        <f>LEFT(A180,B180-1)</f>
        <v>精品大剧</v>
      </c>
    </row>
    <row r="181" spans="1:4" x14ac:dyDescent="0.25">
      <c r="A181" t="s">
        <v>2339</v>
      </c>
      <c r="B181">
        <f>FIND(",",A181)</f>
        <v>5</v>
      </c>
      <c r="C181" t="str">
        <f>MID(A181,B181+1,LEN(A181)-B181)</f>
        <v>http://223.110.241.139:6610/cntv/live1/n-jiatingjc/n-jiatingjc</v>
      </c>
      <c r="D181" t="str">
        <f>LEFT(A181,B181-1)</f>
        <v>家庭剧场</v>
      </c>
    </row>
    <row r="182" spans="1:4" x14ac:dyDescent="0.25">
      <c r="A182" t="s">
        <v>2351</v>
      </c>
      <c r="B182">
        <f>FIND(",",A182)</f>
        <v>5</v>
      </c>
      <c r="C182" t="str">
        <f>MID(A182,B182+1,LEN(A182)-B182)</f>
        <v>http://223.110.241.139:6610/cntv/live1/n-jtiyu/n-jtiyu</v>
      </c>
      <c r="D182" t="str">
        <f>LEFT(A182,B182-1)</f>
        <v>精品体育</v>
      </c>
    </row>
    <row r="183" spans="1:4" x14ac:dyDescent="0.25">
      <c r="A183" t="s">
        <v>2338</v>
      </c>
      <c r="B183">
        <f>FIND(",",A183)</f>
        <v>5</v>
      </c>
      <c r="C183" t="str">
        <f>MID(A183,B183+1,LEN(A183)-B183)</f>
        <v>http://223.110.241.139:6610/cntv/live1/n-junlvjc/n-junlvjc</v>
      </c>
      <c r="D183" t="str">
        <f>LEFT(A183,B183-1)</f>
        <v>军旅剧场</v>
      </c>
    </row>
    <row r="184" spans="1:4" x14ac:dyDescent="0.25">
      <c r="A184" t="s">
        <v>2347</v>
      </c>
      <c r="B184">
        <f>FIND(",",A184)</f>
        <v>5</v>
      </c>
      <c r="C184" t="str">
        <f>MID(A184,B184+1,LEN(A184)-B184)</f>
        <v>http://223.110.241.139:6610/cntv/live1/n-junshipl/n-junshipl</v>
      </c>
      <c r="D184" t="str">
        <f>LEFT(A184,B184-1)</f>
        <v>军事评论</v>
      </c>
    </row>
    <row r="185" spans="1:4" x14ac:dyDescent="0.25">
      <c r="A185" t="s">
        <v>2350</v>
      </c>
      <c r="B185">
        <f>FIND(",",A185)</f>
        <v>5</v>
      </c>
      <c r="C185" t="str">
        <f>MID(A185,B185+1,LEN(A185)-B185)</f>
        <v>http://223.110.241.139:6610/cntv/live1/n-ljiankangyouyue/n-ljiankangyouyue</v>
      </c>
      <c r="D185" t="str">
        <f>LEFT(A185,B185-1)</f>
        <v>怡伴健康</v>
      </c>
    </row>
    <row r="186" spans="1:4" x14ac:dyDescent="0.25">
      <c r="A186" t="s">
        <v>2348</v>
      </c>
      <c r="B186">
        <f>FIND(",",A186)</f>
        <v>5</v>
      </c>
      <c r="C186" t="str">
        <f>MID(A186,B186+1,LEN(A186)-B186)</f>
        <v>http://223.110.241.139:6610/cntv/live1/n-nongyezf/n-nongyezf</v>
      </c>
      <c r="D186" t="str">
        <f>LEFT(A186,B186-1)</f>
        <v>农业致富</v>
      </c>
    </row>
    <row r="187" spans="1:4" x14ac:dyDescent="0.25">
      <c r="A187" t="s">
        <v>2346</v>
      </c>
      <c r="B187">
        <f>FIND(",",A187)</f>
        <v>5</v>
      </c>
      <c r="C187" t="str">
        <f>MID(A187,B187+1,LEN(A187)-B187)</f>
        <v>http://223.110.241.139:6610/cntv/live1/n-saishijx/n-saishijx</v>
      </c>
      <c r="D187" t="str">
        <f>LEFT(A187,B187-1)</f>
        <v>金牌综艺</v>
      </c>
    </row>
    <row r="188" spans="1:4" x14ac:dyDescent="0.25">
      <c r="A188" t="s">
        <v>2340</v>
      </c>
      <c r="B188">
        <f>FIND(",",A188)</f>
        <v>5</v>
      </c>
      <c r="C188" t="str">
        <f>MID(A188,B188+1,LEN(A188)-B188)</f>
        <v>http://223.110.241.139:6610/cntv/live1/n-xiqumd/n-xiqumd</v>
      </c>
      <c r="D188" t="str">
        <f>LEFT(A188,B188-1)</f>
        <v>热播精选</v>
      </c>
    </row>
    <row r="189" spans="1:4" x14ac:dyDescent="0.25">
      <c r="A189" t="s">
        <v>2349</v>
      </c>
      <c r="B189">
        <f>FIND(",",A189)</f>
        <v>5</v>
      </c>
      <c r="C189" t="str">
        <f>MID(A189,B189+1,LEN(A189)-B189)</f>
        <v>http://223.110.241.139:6610/cntv/live1/wmyx/wmyx</v>
      </c>
      <c r="D189" t="str">
        <f>LEFT(A189,B189-1)</f>
        <v>哒啵赛事</v>
      </c>
    </row>
    <row r="190" spans="1:4" x14ac:dyDescent="0.25">
      <c r="A190" t="s">
        <v>2193</v>
      </c>
      <c r="B190">
        <f>FIND(",",A190)</f>
        <v>5</v>
      </c>
      <c r="C190" t="str">
        <f>MID(A190,B190+1,LEN(A190)-B190)</f>
        <v>http://223.110.241.139:6610/gitv/live1/G_ANDUO/G_ANDUO/</v>
      </c>
      <c r="D190" t="str">
        <f>LEFT(A190,B190-1)</f>
        <v>安多卫视</v>
      </c>
    </row>
    <row r="191" spans="1:4" x14ac:dyDescent="0.25">
      <c r="A191" t="s">
        <v>2171</v>
      </c>
      <c r="B191">
        <f>FIND(",",A191)</f>
        <v>5</v>
      </c>
      <c r="C191" t="str">
        <f>MID(A191,B191+1,LEN(A191)-B191)</f>
        <v>http://223.110.241.139:6610/gitv/live1/G_ANHUI-CQ/G_ANHUI-CQ/</v>
      </c>
      <c r="D191" t="str">
        <f>LEFT(A191,B191-1)</f>
        <v>安徽卫视</v>
      </c>
    </row>
    <row r="192" spans="1:4" x14ac:dyDescent="0.25">
      <c r="A192" t="s">
        <v>2224</v>
      </c>
      <c r="B192">
        <f>FIND(",",A192)</f>
        <v>5</v>
      </c>
      <c r="C192" t="str">
        <f>MID(A192,B192+1,LEN(A192)-B192)</f>
        <v>http://223.110.241.139:6610/gitv/live1/G_ANHUI-HD-265-8M/G_ANHUI-HD-265-8M/</v>
      </c>
      <c r="D192" t="str">
        <f>LEFT(A192,B192-1)</f>
        <v>安徽卫视</v>
      </c>
    </row>
    <row r="193" spans="1:4" x14ac:dyDescent="0.25">
      <c r="A193" t="s">
        <v>2129</v>
      </c>
      <c r="B193">
        <f>FIND(",",A193)</f>
        <v>5</v>
      </c>
      <c r="C193" t="str">
        <f>MID(A193,B193+1,LEN(A193)-B193)</f>
        <v>http://223.110.241.139:6610/gitv/live1/G_ANHUI-HQ/G_ANHUI-HQ/</v>
      </c>
      <c r="D193" t="str">
        <f>LEFT(A193,B193-1)</f>
        <v>安徽卫视</v>
      </c>
    </row>
    <row r="194" spans="1:4" x14ac:dyDescent="0.25">
      <c r="A194" t="s">
        <v>2120</v>
      </c>
      <c r="B194">
        <f>FIND(",",A194)</f>
        <v>7</v>
      </c>
      <c r="C194" t="str">
        <f>MID(A194,B194+1,LEN(A194)-B194)</f>
        <v>http://223.110.241.139:6610/gitv/live1/G_BEIJING-4K/G_BEIJING-4K/</v>
      </c>
      <c r="D194" t="str">
        <f>LEFT(A194,B194-1)</f>
        <v>北京卫视4K</v>
      </c>
    </row>
    <row r="195" spans="1:4" x14ac:dyDescent="0.25">
      <c r="A195" t="s">
        <v>2162</v>
      </c>
      <c r="B195">
        <f>FIND(",",A195)</f>
        <v>5</v>
      </c>
      <c r="C195" t="str">
        <f>MID(A195,B195+1,LEN(A195)-B195)</f>
        <v>http://223.110.241.139:6610/gitv/live1/G_BEIJING-CQ/G_BEIJING-CQ/</v>
      </c>
      <c r="D195" t="str">
        <f>LEFT(A195,B195-1)</f>
        <v>北京卫视</v>
      </c>
    </row>
    <row r="196" spans="1:4" x14ac:dyDescent="0.25">
      <c r="A196" t="s">
        <v>2216</v>
      </c>
      <c r="B196">
        <f>FIND(",",A196)</f>
        <v>5</v>
      </c>
      <c r="C196" t="str">
        <f>MID(A196,B196+1,LEN(A196)-B196)</f>
        <v>http://223.110.241.139:6610/gitv/live1/G_BEIJING-HD-265-8M/G_BEIJING-HD-265-8M/</v>
      </c>
      <c r="D196" t="str">
        <f>LEFT(A196,B196-1)</f>
        <v>北京卫视</v>
      </c>
    </row>
    <row r="197" spans="1:4" x14ac:dyDescent="0.25">
      <c r="A197" t="s">
        <v>2119</v>
      </c>
      <c r="B197">
        <f>FIND(",",A197)</f>
        <v>5</v>
      </c>
      <c r="C197" t="str">
        <f>MID(A197,B197+1,LEN(A197)-B197)</f>
        <v>http://223.110.241.139:6610/gitv/live1/G_BEIJING-HQ/G_BEIJING-HQ/</v>
      </c>
      <c r="D197" t="str">
        <f>LEFT(A197,B197-1)</f>
        <v>北京卫视</v>
      </c>
    </row>
    <row r="198" spans="1:4" x14ac:dyDescent="0.25">
      <c r="A198" t="s">
        <v>2196</v>
      </c>
      <c r="B198">
        <f>FIND(",",A198)</f>
        <v>5</v>
      </c>
      <c r="C198" t="str">
        <f>MID(A198,B198+1,LEN(A198)-B198)</f>
        <v>http://223.110.241.139:6610/gitv/live1/G_BEIJINGJS-CQ/G_BEIJINGJS-CQ/</v>
      </c>
      <c r="D198" t="str">
        <f>LEFT(A198,B198-1)</f>
        <v>纪实科教</v>
      </c>
    </row>
    <row r="199" spans="1:4" x14ac:dyDescent="0.25">
      <c r="A199" t="s">
        <v>2237</v>
      </c>
      <c r="B199">
        <f>FIND(",",A199)</f>
        <v>5</v>
      </c>
      <c r="C199" t="str">
        <f>MID(A199,B199+1,LEN(A199)-B199)</f>
        <v>http://223.110.241.139:6610/gitv/live1/G_BEIJING-MD/G_BEIJING-MD/</v>
      </c>
      <c r="D199" t="str">
        <f>LEFT(A199,B199-1)</f>
        <v>北京卫视</v>
      </c>
    </row>
    <row r="200" spans="1:4" x14ac:dyDescent="0.25">
      <c r="A200" t="s">
        <v>2159</v>
      </c>
      <c r="B200">
        <f>FIND(",",A200)</f>
        <v>9</v>
      </c>
      <c r="C200" t="str">
        <f>MID(A200,B200+1,LEN(A200)-B200)</f>
        <v>http://223.110.241.139:6610/gitv/live1/G_BINGQIKJ-CQ/G_BINGQIKJ-CQ/</v>
      </c>
      <c r="D200" t="str">
        <f>LEFT(A200,B200-1)</f>
        <v>CCTV兵器科技</v>
      </c>
    </row>
    <row r="201" spans="1:4" x14ac:dyDescent="0.25">
      <c r="A201" t="s">
        <v>2189</v>
      </c>
      <c r="B201">
        <f>FIND(",",A201)</f>
        <v>5</v>
      </c>
      <c r="C201" t="str">
        <f>MID(A201,B201+1,LEN(A201)-B201)</f>
        <v>http://223.110.241.139:6610/gitv/live1/G_BINGTUAN/G_BINGTUAN/</v>
      </c>
      <c r="D201" t="str">
        <f>LEFT(A201,B201-1)</f>
        <v>兵团卫视</v>
      </c>
    </row>
    <row r="202" spans="1:4" x14ac:dyDescent="0.25">
      <c r="A202" t="s">
        <v>2152</v>
      </c>
      <c r="B202">
        <f>FIND(",",A202)</f>
        <v>7</v>
      </c>
      <c r="C202" t="str">
        <f>MID(A202,B202+1,LEN(A202)-B202)</f>
        <v>http://223.110.241.139:6610/gitv/live1/G_CCTV-10-CQ/G_CCTV-10-CQ/</v>
      </c>
      <c r="D202" t="str">
        <f>LEFT(A202,B202-1)</f>
        <v>CCTV10</v>
      </c>
    </row>
    <row r="203" spans="1:4" x14ac:dyDescent="0.25">
      <c r="A203" t="s">
        <v>2211</v>
      </c>
      <c r="B203">
        <f>FIND(",",A203)</f>
        <v>7</v>
      </c>
      <c r="C203" t="str">
        <f>MID(A203,B203+1,LEN(A203)-B203)</f>
        <v>http://223.110.241.139:6610/gitv/live1/G_CCTV-10-HD-265-8M/G_CCTV-10-HD-265-8M/</v>
      </c>
      <c r="D203" t="str">
        <f>LEFT(A203,B203-1)</f>
        <v>CCTV10</v>
      </c>
    </row>
    <row r="204" spans="1:4" x14ac:dyDescent="0.25">
      <c r="A204" t="s">
        <v>2108</v>
      </c>
      <c r="B204">
        <f>FIND(",",A204)</f>
        <v>7</v>
      </c>
      <c r="C204" t="str">
        <f>MID(A204,B204+1,LEN(A204)-B204)</f>
        <v>http://223.110.241.139:6610/gitv/live1/G_CCTV-10-HQ/G_CCTV-10-HQ/</v>
      </c>
      <c r="D204" t="str">
        <f>LEFT(A204,B204-1)</f>
        <v>CCTV10</v>
      </c>
    </row>
    <row r="205" spans="1:4" x14ac:dyDescent="0.25">
      <c r="A205" t="s">
        <v>2109</v>
      </c>
      <c r="B205">
        <f>FIND(",",A205)</f>
        <v>7</v>
      </c>
      <c r="C205" t="str">
        <f>MID(A205,B205+1,LEN(A205)-B205)</f>
        <v>http://223.110.241.139:6610/gitv/live1/G_CCTV-11-HQ/G_CCTV-11-HQ/</v>
      </c>
      <c r="D205" t="str">
        <f>LEFT(A205,B205-1)</f>
        <v>CCTV11</v>
      </c>
    </row>
    <row r="206" spans="1:4" x14ac:dyDescent="0.25">
      <c r="A206" t="s">
        <v>2153</v>
      </c>
      <c r="B206">
        <f>FIND(",",A206)</f>
        <v>7</v>
      </c>
      <c r="C206" t="str">
        <f>MID(A206,B206+1,LEN(A206)-B206)</f>
        <v>http://223.110.241.139:6610/gitv/live1/G_CCTV-12-CQ/G_CCTV-12-CQ/</v>
      </c>
      <c r="D206" t="str">
        <f>LEFT(A206,B206-1)</f>
        <v>CCTV12</v>
      </c>
    </row>
    <row r="207" spans="1:4" x14ac:dyDescent="0.25">
      <c r="A207" t="s">
        <v>2212</v>
      </c>
      <c r="B207">
        <f>FIND(",",A207)</f>
        <v>7</v>
      </c>
      <c r="C207" t="str">
        <f>MID(A207,B207+1,LEN(A207)-B207)</f>
        <v>http://223.110.241.139:6610/gitv/live1/G_CCTV-12-HD-265-8M/G_CCTV-12-HD-265-8M/</v>
      </c>
      <c r="D207" t="str">
        <f>LEFT(A207,B207-1)</f>
        <v>CCTV12</v>
      </c>
    </row>
    <row r="208" spans="1:4" x14ac:dyDescent="0.25">
      <c r="A208" t="s">
        <v>2110</v>
      </c>
      <c r="B208">
        <f>FIND(",",A208)</f>
        <v>7</v>
      </c>
      <c r="C208" t="str">
        <f>MID(A208,B208+1,LEN(A208)-B208)</f>
        <v>http://223.110.241.139:6610/gitv/live1/G_CCTV-12-HQ/G_CCTV-12-HQ/</v>
      </c>
      <c r="D208" t="str">
        <f>LEFT(A208,B208-1)</f>
        <v>CCTV12</v>
      </c>
    </row>
    <row r="209" spans="1:4" x14ac:dyDescent="0.25">
      <c r="A209" t="s">
        <v>2154</v>
      </c>
      <c r="B209">
        <f>FIND(",",A209)</f>
        <v>7</v>
      </c>
      <c r="C209" t="str">
        <f>MID(A209,B209+1,LEN(A209)-B209)</f>
        <v>http://223.110.241.139:6610/gitv/live1/G_CCTV-13-CQ/G_CCTV-13-CQ/</v>
      </c>
      <c r="D209" t="str">
        <f>LEFT(A209,B209-1)</f>
        <v>CCTV13</v>
      </c>
    </row>
    <row r="210" spans="1:4" x14ac:dyDescent="0.25">
      <c r="A210" t="s">
        <v>2213</v>
      </c>
      <c r="B210">
        <f>FIND(",",A210)</f>
        <v>7</v>
      </c>
      <c r="C210" t="str">
        <f>MID(A210,B210+1,LEN(A210)-B210)</f>
        <v>http://223.110.241.139:6610/gitv/live1/G_CCTV-13-HD-265-8M/G_CCTV-13-HD-265-8M/</v>
      </c>
      <c r="D210" t="str">
        <f>LEFT(A210,B210-1)</f>
        <v>CCTV13</v>
      </c>
    </row>
    <row r="211" spans="1:4" x14ac:dyDescent="0.25">
      <c r="A211" t="s">
        <v>2111</v>
      </c>
      <c r="B211">
        <f>FIND(",",A211)</f>
        <v>7</v>
      </c>
      <c r="C211" t="str">
        <f>MID(A211,B211+1,LEN(A211)-B211)</f>
        <v>http://223.110.241.139:6610/gitv/live1/G_CCTV-13-HQ/G_CCTV-13-HQ/</v>
      </c>
      <c r="D211" t="str">
        <f>LEFT(A211,B211-1)</f>
        <v>CCTV13</v>
      </c>
    </row>
    <row r="212" spans="1:4" x14ac:dyDescent="0.25">
      <c r="A212" t="s">
        <v>2155</v>
      </c>
      <c r="B212">
        <f>FIND(",",A212)</f>
        <v>7</v>
      </c>
      <c r="C212" t="str">
        <f>MID(A212,B212+1,LEN(A212)-B212)</f>
        <v>http://223.110.241.139:6610/gitv/live1/G_CCTV-14-CQ/G_CCTV-14-CQ/</v>
      </c>
      <c r="D212" t="str">
        <f>LEFT(A212,B212-1)</f>
        <v>CCTV14</v>
      </c>
    </row>
    <row r="213" spans="1:4" x14ac:dyDescent="0.25">
      <c r="A213" t="s">
        <v>2112</v>
      </c>
      <c r="B213">
        <f>FIND(",",A213)</f>
        <v>7</v>
      </c>
      <c r="C213" t="str">
        <f>MID(A213,B213+1,LEN(A213)-B213)</f>
        <v>http://223.110.241.139:6610/gitv/live1/G_CCTV-14-HQ/G_CCTV-14-HQ/</v>
      </c>
      <c r="D213" t="str">
        <f>LEFT(A213,B213-1)</f>
        <v>CCTV14</v>
      </c>
    </row>
    <row r="214" spans="1:4" x14ac:dyDescent="0.25">
      <c r="A214" t="s">
        <v>2156</v>
      </c>
      <c r="B214">
        <f>FIND(",",A214)</f>
        <v>7</v>
      </c>
      <c r="C214" t="str">
        <f>MID(A214,B214+1,LEN(A214)-B214)</f>
        <v>http://223.110.241.139:6610/gitv/live1/G_CCTV-15-CQ/G_CCTV-15-CQ/</v>
      </c>
      <c r="D214" t="str">
        <f>LEFT(A214,B214-1)</f>
        <v>CCTV15</v>
      </c>
    </row>
    <row r="215" spans="1:4" x14ac:dyDescent="0.25">
      <c r="A215" t="s">
        <v>2113</v>
      </c>
      <c r="B215">
        <f>FIND(",",A215)</f>
        <v>7</v>
      </c>
      <c r="C215" t="str">
        <f>MID(A215,B215+1,LEN(A215)-B215)</f>
        <v>http://223.110.241.139:6610/gitv/live1/G_CCTV-15-HQ/G_CCTV-15-HQ/</v>
      </c>
      <c r="D215" t="str">
        <f>LEFT(A215,B215-1)</f>
        <v>CCTV15</v>
      </c>
    </row>
    <row r="216" spans="1:4" x14ac:dyDescent="0.25">
      <c r="A216" t="s">
        <v>2418</v>
      </c>
      <c r="B216">
        <f>FIND(",",A216)</f>
        <v>10</v>
      </c>
      <c r="C216" t="str">
        <f>MID(A216,B216+1,LEN(A216)-B216)</f>
        <v>http://223.110.241.139:6610/gitv/live1/G_CCTV-16-4K/G_CCTV-16-4K/</v>
      </c>
      <c r="D216" t="str">
        <f>LEFT(A216,B216-1)</f>
        <v>CCTV16-4K</v>
      </c>
    </row>
    <row r="217" spans="1:4" x14ac:dyDescent="0.25">
      <c r="A217" t="s">
        <v>2157</v>
      </c>
      <c r="B217">
        <f>FIND(",",A217)</f>
        <v>7</v>
      </c>
      <c r="C217" t="str">
        <f>MID(A217,B217+1,LEN(A217)-B217)</f>
        <v>http://223.110.241.139:6610/gitv/live1/G_CCTV-16-CQ/G_CCTV-16-CQ/</v>
      </c>
      <c r="D217" t="str">
        <f>LEFT(A217,B217-1)</f>
        <v>CCTV16</v>
      </c>
    </row>
    <row r="218" spans="1:4" x14ac:dyDescent="0.25">
      <c r="A218" t="s">
        <v>2114</v>
      </c>
      <c r="B218">
        <f>FIND(",",A218)</f>
        <v>7</v>
      </c>
      <c r="C218" t="str">
        <f>MID(A218,B218+1,LEN(A218)-B218)</f>
        <v>http://223.110.241.139:6610/gitv/live1/G_CCTV-16-HQ/G_CCTV-16-HQ/</v>
      </c>
      <c r="D218" t="str">
        <f>LEFT(A218,B218-1)</f>
        <v>CCTV16</v>
      </c>
    </row>
    <row r="219" spans="1:4" x14ac:dyDescent="0.25">
      <c r="A219" t="s">
        <v>2158</v>
      </c>
      <c r="B219">
        <f>FIND(",",A219)</f>
        <v>7</v>
      </c>
      <c r="C219" t="str">
        <f>MID(A219,B219+1,LEN(A219)-B219)</f>
        <v>http://223.110.241.139:6610/gitv/live1/G_CCTV-17-CQ/G_CCTV-17-CQ/</v>
      </c>
      <c r="D219" t="str">
        <f>LEFT(A219,B219-1)</f>
        <v>CCTV17</v>
      </c>
    </row>
    <row r="220" spans="1:4" x14ac:dyDescent="0.25">
      <c r="A220" t="s">
        <v>2115</v>
      </c>
      <c r="B220">
        <f>FIND(",",A220)</f>
        <v>7</v>
      </c>
      <c r="C220" t="str">
        <f>MID(A220,B220+1,LEN(A220)-B220)</f>
        <v>http://223.110.241.139:6610/gitv/live1/G_CCTV-17-HQ/G_CCTV-17-HQ/</v>
      </c>
      <c r="D220" t="str">
        <f>LEFT(A220,B220-1)</f>
        <v>CCTV17</v>
      </c>
    </row>
    <row r="221" spans="1:4" x14ac:dyDescent="0.25">
      <c r="A221" t="s">
        <v>2142</v>
      </c>
      <c r="B221">
        <f>FIND(",",A221)</f>
        <v>6</v>
      </c>
      <c r="C221" t="str">
        <f>MID(A221,B221+1,LEN(A221)-B221)</f>
        <v>http://223.110.241.139:6610/gitv/live1/G_CCTV-1-CQ/G_CCTV-1-CQ/</v>
      </c>
      <c r="D221" t="str">
        <f>LEFT(A221,B221-1)</f>
        <v>CCTV1</v>
      </c>
    </row>
    <row r="222" spans="1:4" x14ac:dyDescent="0.25">
      <c r="A222" t="s">
        <v>2201</v>
      </c>
      <c r="B222">
        <f>FIND(",",A222)</f>
        <v>6</v>
      </c>
      <c r="C222" t="str">
        <f>MID(A222,B222+1,LEN(A222)-B222)</f>
        <v>http://223.110.241.139:6610/gitv/live1/G_CCTV-1-HD-265-8M/G_CCTV-1-HD-265-8M/</v>
      </c>
      <c r="D222" t="str">
        <f>LEFT(A222,B222-1)</f>
        <v>CCTV1</v>
      </c>
    </row>
    <row r="223" spans="1:4" x14ac:dyDescent="0.25">
      <c r="A223" t="s">
        <v>2098</v>
      </c>
      <c r="B223">
        <f>FIND(",",A223)</f>
        <v>6</v>
      </c>
      <c r="C223" t="str">
        <f>MID(A223,B223+1,LEN(A223)-B223)</f>
        <v>http://223.110.241.139:6610/gitv/live1/G_CCTV-1-HQ/G_CCTV-1-HQ/</v>
      </c>
      <c r="D223" t="str">
        <f>LEFT(A223,B223-1)</f>
        <v>CCTV1</v>
      </c>
    </row>
    <row r="224" spans="1:4" x14ac:dyDescent="0.25">
      <c r="A224" t="s">
        <v>2228</v>
      </c>
      <c r="B224">
        <f>FIND(",",A224)</f>
        <v>6</v>
      </c>
      <c r="C224" t="str">
        <f>MID(A224,B224+1,LEN(A224)-B224)</f>
        <v>http://223.110.241.139:6610/gitv/live1/G_CCTV-1-MD/G_CCTV-1-MD/</v>
      </c>
      <c r="D224" t="str">
        <f>LEFT(A224,B224-1)</f>
        <v>CCTV1</v>
      </c>
    </row>
    <row r="225" spans="1:4" x14ac:dyDescent="0.25">
      <c r="A225" t="s">
        <v>2143</v>
      </c>
      <c r="B225">
        <f>FIND(",",A225)</f>
        <v>6</v>
      </c>
      <c r="C225" t="str">
        <f>MID(A225,B225+1,LEN(A225)-B225)</f>
        <v>http://223.110.241.139:6610/gitv/live1/G_CCTV-2-CQ/G_CCTV-2-CQ/</v>
      </c>
      <c r="D225" t="str">
        <f>LEFT(A225,B225-1)</f>
        <v>CCTV2</v>
      </c>
    </row>
    <row r="226" spans="1:4" x14ac:dyDescent="0.25">
      <c r="A226" t="s">
        <v>2099</v>
      </c>
      <c r="B226">
        <f>FIND(",",A226)</f>
        <v>6</v>
      </c>
      <c r="C226" t="str">
        <f>MID(A226,B226+1,LEN(A226)-B226)</f>
        <v>http://223.110.241.139:6610/gitv/live1/G_CCTV-2-HD/G_CCTV-2-HD/</v>
      </c>
      <c r="D226" t="str">
        <f>LEFT(A226,B226-1)</f>
        <v>CCTV2</v>
      </c>
    </row>
    <row r="227" spans="1:4" x14ac:dyDescent="0.25">
      <c r="A227" t="s">
        <v>2202</v>
      </c>
      <c r="B227">
        <f>FIND(",",A227)</f>
        <v>6</v>
      </c>
      <c r="C227" t="str">
        <f>MID(A227,B227+1,LEN(A227)-B227)</f>
        <v>http://223.110.241.139:6610/gitv/live1/G_CCTV-2-HD-265-8M/G_CCTV-2-HD-265-8M/</v>
      </c>
      <c r="D227" t="str">
        <f>LEFT(A227,B227-1)</f>
        <v>CCTV2</v>
      </c>
    </row>
    <row r="228" spans="1:4" x14ac:dyDescent="0.25">
      <c r="A228" t="s">
        <v>2229</v>
      </c>
      <c r="B228">
        <f>FIND(",",A228)</f>
        <v>6</v>
      </c>
      <c r="C228" t="str">
        <f>MID(A228,B228+1,LEN(A228)-B228)</f>
        <v>http://223.110.241.139:6610/gitv/live1/G_CCTV-2-MD/G_CCTV-2-MD/</v>
      </c>
      <c r="D228" t="str">
        <f>LEFT(A228,B228-1)</f>
        <v>CCTV2</v>
      </c>
    </row>
    <row r="229" spans="1:4" x14ac:dyDescent="0.25">
      <c r="A229" t="s">
        <v>2144</v>
      </c>
      <c r="B229">
        <f>FIND(",",A229)</f>
        <v>6</v>
      </c>
      <c r="C229" t="str">
        <f>MID(A229,B229+1,LEN(A229)-B229)</f>
        <v>http://223.110.241.139:6610/gitv/live1/G_CCTV-3-CQ/G_CCTV-3-CQ/</v>
      </c>
      <c r="D229" t="str">
        <f>LEFT(A229,B229-1)</f>
        <v>CCTV3</v>
      </c>
    </row>
    <row r="230" spans="1:4" x14ac:dyDescent="0.25">
      <c r="A230" t="s">
        <v>2203</v>
      </c>
      <c r="B230">
        <f>FIND(",",A230)</f>
        <v>6</v>
      </c>
      <c r="C230" t="str">
        <f>MID(A230,B230+1,LEN(A230)-B230)</f>
        <v>http://223.110.241.139:6610/gitv/live1/G_CCTV-3-HD-265-8M/G_CCTV-3-HD-265-8M/</v>
      </c>
      <c r="D230" t="str">
        <f>LEFT(A230,B230-1)</f>
        <v>CCTV3</v>
      </c>
    </row>
    <row r="231" spans="1:4" x14ac:dyDescent="0.25">
      <c r="A231" t="s">
        <v>2100</v>
      </c>
      <c r="B231">
        <f>FIND(",",A231)</f>
        <v>6</v>
      </c>
      <c r="C231" t="str">
        <f>MID(A231,B231+1,LEN(A231)-B231)</f>
        <v>http://223.110.241.139:6610/gitv/live1/G_CCTV-3-HQ/G_CCTV-3-HQ/</v>
      </c>
      <c r="D231" t="str">
        <f>LEFT(A231,B231-1)</f>
        <v>CCTV3</v>
      </c>
    </row>
    <row r="232" spans="1:4" x14ac:dyDescent="0.25">
      <c r="A232" t="s">
        <v>2230</v>
      </c>
      <c r="B232">
        <f>FIND(",",A232)</f>
        <v>6</v>
      </c>
      <c r="C232" t="str">
        <f>MID(A232,B232+1,LEN(A232)-B232)</f>
        <v>http://223.110.241.139:6610/gitv/live1/G_CCTV-3-MD/G_CCTV-3-MD/</v>
      </c>
      <c r="D232" t="str">
        <f>LEFT(A232,B232-1)</f>
        <v>CCTV3</v>
      </c>
    </row>
    <row r="233" spans="1:4" x14ac:dyDescent="0.25">
      <c r="A233" t="s">
        <v>2145</v>
      </c>
      <c r="B233">
        <f>FIND(",",A233)</f>
        <v>6</v>
      </c>
      <c r="C233" t="str">
        <f>MID(A233,B233+1,LEN(A233)-B233)</f>
        <v>http://223.110.241.139:6610/gitv/live1/G_CCTV-4-CQ/G_CCTV-4-CQ/</v>
      </c>
      <c r="D233" t="str">
        <f>LEFT(A233,B233-1)</f>
        <v>CCTV4</v>
      </c>
    </row>
    <row r="234" spans="1:4" x14ac:dyDescent="0.25">
      <c r="A234" t="s">
        <v>2204</v>
      </c>
      <c r="B234">
        <f>FIND(",",A234)</f>
        <v>6</v>
      </c>
      <c r="C234" t="str">
        <f>MID(A234,B234+1,LEN(A234)-B234)</f>
        <v>http://223.110.241.139:6610/gitv/live1/G_CCTV-4-HD-265-8M/G_CCTV-4-HD-265-8M/</v>
      </c>
      <c r="D234" t="str">
        <f>LEFT(A234,B234-1)</f>
        <v>CCTV4</v>
      </c>
    </row>
    <row r="235" spans="1:4" x14ac:dyDescent="0.25">
      <c r="A235" t="s">
        <v>2101</v>
      </c>
      <c r="B235">
        <f>FIND(",",A235)</f>
        <v>6</v>
      </c>
      <c r="C235" t="str">
        <f>MID(A235,B235+1,LEN(A235)-B235)</f>
        <v>http://223.110.241.139:6610/gitv/live1/G_CCTV-4-HQ/G_CCTV-4-HQ/</v>
      </c>
      <c r="D235" t="str">
        <f>LEFT(A235,B235-1)</f>
        <v>CCTV4</v>
      </c>
    </row>
    <row r="236" spans="1:4" x14ac:dyDescent="0.25">
      <c r="A236" t="s">
        <v>2116</v>
      </c>
      <c r="B236">
        <f>FIND(",",A236)</f>
        <v>7</v>
      </c>
      <c r="C236" t="str">
        <f>MID(A236,B236+1,LEN(A236)-B236)</f>
        <v>http://223.110.241.139:6610/gitv/live1/G_CCTV-4K-HD/G_CCTV-4K-HD/</v>
      </c>
      <c r="D236" t="str">
        <f>LEFT(A236,B236-1)</f>
        <v>CCTV4K</v>
      </c>
    </row>
    <row r="237" spans="1:4" x14ac:dyDescent="0.25">
      <c r="A237" t="s">
        <v>2231</v>
      </c>
      <c r="B237">
        <f>FIND(",",A237)</f>
        <v>6</v>
      </c>
      <c r="C237" t="str">
        <f>MID(A237,B237+1,LEN(A237)-B237)</f>
        <v>http://223.110.241.139:6610/gitv/live1/G_CCTV-4-MD/G_CCTV-4-MD/</v>
      </c>
      <c r="D237" t="str">
        <f>LEFT(A237,B237-1)</f>
        <v>CCTV4</v>
      </c>
    </row>
    <row r="238" spans="1:4" x14ac:dyDescent="0.25">
      <c r="A238" t="s">
        <v>2146</v>
      </c>
      <c r="B238">
        <f>FIND(",",A238)</f>
        <v>6</v>
      </c>
      <c r="C238" t="str">
        <f>MID(A238,B238+1,LEN(A238)-B238)</f>
        <v>http://223.110.241.139:6610/gitv/live1/G_CCTV-5-CQ/G_CCTV-5-CQ/</v>
      </c>
      <c r="D238" t="str">
        <f>LEFT(A238,B238-1)</f>
        <v>CCTV5</v>
      </c>
    </row>
    <row r="239" spans="1:4" x14ac:dyDescent="0.25">
      <c r="A239" t="s">
        <v>2205</v>
      </c>
      <c r="B239">
        <f>FIND(",",A239)</f>
        <v>6</v>
      </c>
      <c r="C239" t="str">
        <f>MID(A239,B239+1,LEN(A239)-B239)</f>
        <v>http://223.110.241.139:6610/gitv/live1/G_CCTV-5-HD-265-8M/G_CCTV-5-HD-265-8M/</v>
      </c>
      <c r="D239" t="str">
        <f>LEFT(A239,B239-1)</f>
        <v>CCTV5</v>
      </c>
    </row>
    <row r="240" spans="1:4" x14ac:dyDescent="0.25">
      <c r="A240" t="s">
        <v>2102</v>
      </c>
      <c r="B240">
        <f>FIND(",",A240)</f>
        <v>6</v>
      </c>
      <c r="C240" t="str">
        <f>MID(A240,B240+1,LEN(A240)-B240)</f>
        <v>http://223.110.241.139:6610/gitv/live1/G_CCTV-5-HQ/G_CCTV-5-HQ/</v>
      </c>
      <c r="D240" t="str">
        <f>LEFT(A240,B240-1)</f>
        <v>CCTV5</v>
      </c>
    </row>
    <row r="241" spans="1:4" x14ac:dyDescent="0.25">
      <c r="A241" t="s">
        <v>2232</v>
      </c>
      <c r="B241">
        <f>FIND(",",A241)</f>
        <v>6</v>
      </c>
      <c r="C241" t="str">
        <f>MID(A241,B241+1,LEN(A241)-B241)</f>
        <v>http://223.110.241.139:6610/gitv/live1/G_CCTV-5-MD/G_CCTV-5-MD/</v>
      </c>
      <c r="D241" t="str">
        <f>LEFT(A241,B241-1)</f>
        <v>CCTV5</v>
      </c>
    </row>
    <row r="242" spans="1:4" x14ac:dyDescent="0.25">
      <c r="A242" t="s">
        <v>2147</v>
      </c>
      <c r="B242">
        <f>FIND(",",A242)</f>
        <v>7</v>
      </c>
      <c r="C242" t="str">
        <f>MID(A242,B242+1,LEN(A242)-B242)</f>
        <v>http://223.110.241.139:6610/gitv/live1/G_CCTV-5PLUS-CQ/G_CCTV-5PLUS-CQ/</v>
      </c>
      <c r="D242" t="str">
        <f>LEFT(A242,B242-1)</f>
        <v>CCTV5+</v>
      </c>
    </row>
    <row r="243" spans="1:4" x14ac:dyDescent="0.25">
      <c r="A243" t="s">
        <v>2206</v>
      </c>
      <c r="B243">
        <f>FIND(",",A243)</f>
        <v>7</v>
      </c>
      <c r="C243" t="str">
        <f>MID(A243,B243+1,LEN(A243)-B243)</f>
        <v>http://223.110.241.139:6610/gitv/live1/G_CCTV-5PLUS-HD-265-8M/G_CCTV-5PLUS-HD-265-8M/</v>
      </c>
      <c r="D243" t="str">
        <f>LEFT(A243,B243-1)</f>
        <v>CCTV5+</v>
      </c>
    </row>
    <row r="244" spans="1:4" x14ac:dyDescent="0.25">
      <c r="A244" t="s">
        <v>2103</v>
      </c>
      <c r="B244">
        <f>FIND(",",A244)</f>
        <v>7</v>
      </c>
      <c r="C244" t="str">
        <f>MID(A244,B244+1,LEN(A244)-B244)</f>
        <v>http://223.110.241.139:6610/gitv/live1/G_CCTV-5PLUS-HQ/G_CCTV-5PLUS-HQ/</v>
      </c>
      <c r="D244" t="str">
        <f>LEFT(A244,B244-1)</f>
        <v>CCTV5+</v>
      </c>
    </row>
    <row r="245" spans="1:4" x14ac:dyDescent="0.25">
      <c r="A245" t="s">
        <v>2233</v>
      </c>
      <c r="B245">
        <f>FIND(",",A245)</f>
        <v>7</v>
      </c>
      <c r="C245" t="str">
        <f>MID(A245,B245+1,LEN(A245)-B245)</f>
        <v>http://223.110.241.139:6610/gitv/live1/G_CCTV-5PLUS-MD/G_CCTV-5PLUS-MD/</v>
      </c>
      <c r="D245" t="str">
        <f>LEFT(A245,B245-1)</f>
        <v>CCTV5+</v>
      </c>
    </row>
    <row r="246" spans="1:4" x14ac:dyDescent="0.25">
      <c r="A246" t="s">
        <v>2148</v>
      </c>
      <c r="B246">
        <f>FIND(",",A246)</f>
        <v>6</v>
      </c>
      <c r="C246" t="str">
        <f>MID(A246,B246+1,LEN(A246)-B246)</f>
        <v>http://223.110.241.139:6610/gitv/live1/G_CCTV-6-CQ/G_CCTV-6-CQ/</v>
      </c>
      <c r="D246" t="str">
        <f>LEFT(A246,B246-1)</f>
        <v>CCTV6</v>
      </c>
    </row>
    <row r="247" spans="1:4" x14ac:dyDescent="0.25">
      <c r="A247" t="s">
        <v>2207</v>
      </c>
      <c r="B247">
        <f>FIND(",",A247)</f>
        <v>6</v>
      </c>
      <c r="C247" t="str">
        <f>MID(A247,B247+1,LEN(A247)-B247)</f>
        <v>http://223.110.241.139:6610/gitv/live1/G_CCTV-6-HD-265-8M/G_CCTV-6-HD-265-8M/</v>
      </c>
      <c r="D247" t="str">
        <f>LEFT(A247,B247-1)</f>
        <v>CCTV6</v>
      </c>
    </row>
    <row r="248" spans="1:4" x14ac:dyDescent="0.25">
      <c r="A248" t="s">
        <v>2104</v>
      </c>
      <c r="B248">
        <f>FIND(",",A248)</f>
        <v>6</v>
      </c>
      <c r="C248" t="str">
        <f>MID(A248,B248+1,LEN(A248)-B248)</f>
        <v>http://223.110.241.139:6610/gitv/live1/G_CCTV-6-HQ/G_CCTV-6-HQ/</v>
      </c>
      <c r="D248" t="str">
        <f>LEFT(A248,B248-1)</f>
        <v>CCTV6</v>
      </c>
    </row>
    <row r="249" spans="1:4" x14ac:dyDescent="0.25">
      <c r="A249" t="s">
        <v>2234</v>
      </c>
      <c r="B249">
        <f>FIND(",",A249)</f>
        <v>6</v>
      </c>
      <c r="C249" t="str">
        <f>MID(A249,B249+1,LEN(A249)-B249)</f>
        <v>http://223.110.241.139:6610/gitv/live1/G_CCTV-6-MD/G_CCTV-6-MD/</v>
      </c>
      <c r="D249" t="str">
        <f>LEFT(A249,B249-1)</f>
        <v>CCTV6</v>
      </c>
    </row>
    <row r="250" spans="1:4" x14ac:dyDescent="0.25">
      <c r="A250" t="s">
        <v>2149</v>
      </c>
      <c r="B250">
        <f>FIND(",",A250)</f>
        <v>6</v>
      </c>
      <c r="C250" t="str">
        <f>MID(A250,B250+1,LEN(A250)-B250)</f>
        <v>http://223.110.241.139:6610/gitv/live1/G_CCTV-7-CQ/G_CCTV-7-CQ/</v>
      </c>
      <c r="D250" t="str">
        <f>LEFT(A250,B250-1)</f>
        <v>CCTV7</v>
      </c>
    </row>
    <row r="251" spans="1:4" x14ac:dyDescent="0.25">
      <c r="A251" t="s">
        <v>2208</v>
      </c>
      <c r="B251">
        <f>FIND(",",A251)</f>
        <v>6</v>
      </c>
      <c r="C251" t="str">
        <f>MID(A251,B251+1,LEN(A251)-B251)</f>
        <v>http://223.110.241.139:6610/gitv/live1/G_CCTV-7-HD-265-8M/G_CCTV-7-HD-265-8M/</v>
      </c>
      <c r="D251" t="str">
        <f>LEFT(A251,B251-1)</f>
        <v>CCTV7</v>
      </c>
    </row>
    <row r="252" spans="1:4" x14ac:dyDescent="0.25">
      <c r="A252" t="s">
        <v>2105</v>
      </c>
      <c r="B252">
        <f>FIND(",",A252)</f>
        <v>6</v>
      </c>
      <c r="C252" t="str">
        <f>MID(A252,B252+1,LEN(A252)-B252)</f>
        <v>http://223.110.241.139:6610/gitv/live1/G_CCTV-7-HQ/G_CCTV-7-HQ/</v>
      </c>
      <c r="D252" t="str">
        <f>LEFT(A252,B252-1)</f>
        <v>CCTV7</v>
      </c>
    </row>
    <row r="253" spans="1:4" x14ac:dyDescent="0.25">
      <c r="A253" t="s">
        <v>2150</v>
      </c>
      <c r="B253">
        <f>FIND(",",A253)</f>
        <v>6</v>
      </c>
      <c r="C253" t="str">
        <f>MID(A253,B253+1,LEN(A253)-B253)</f>
        <v>http://223.110.241.139:6610/gitv/live1/G_CCTV-8-CQ/G_CCTV-8-CQ/</v>
      </c>
      <c r="D253" t="str">
        <f>LEFT(A253,B253-1)</f>
        <v>CCTV8</v>
      </c>
    </row>
    <row r="254" spans="1:4" x14ac:dyDescent="0.25">
      <c r="A254" t="s">
        <v>2209</v>
      </c>
      <c r="B254">
        <f>FIND(",",A254)</f>
        <v>6</v>
      </c>
      <c r="C254" t="str">
        <f>MID(A254,B254+1,LEN(A254)-B254)</f>
        <v>http://223.110.241.139:6610/gitv/live1/G_CCTV-8-HD-265-8M/G_CCTV-8-HD-265-8M/</v>
      </c>
      <c r="D254" t="str">
        <f>LEFT(A254,B254-1)</f>
        <v>CCTV8</v>
      </c>
    </row>
    <row r="255" spans="1:4" x14ac:dyDescent="0.25">
      <c r="A255" t="s">
        <v>2106</v>
      </c>
      <c r="B255">
        <f>FIND(",",A255)</f>
        <v>6</v>
      </c>
      <c r="C255" t="str">
        <f>MID(A255,B255+1,LEN(A255)-B255)</f>
        <v>http://223.110.241.139:6610/gitv/live1/G_CCTV-8-HQ/G_CCTV-8-HQ/</v>
      </c>
      <c r="D255" t="str">
        <f>LEFT(A255,B255-1)</f>
        <v>CCTV8</v>
      </c>
    </row>
    <row r="256" spans="1:4" x14ac:dyDescent="0.25">
      <c r="A256" t="s">
        <v>2235</v>
      </c>
      <c r="B256">
        <f>FIND(",",A256)</f>
        <v>6</v>
      </c>
      <c r="C256" t="str">
        <f>MID(A256,B256+1,LEN(A256)-B256)</f>
        <v>http://223.110.241.139:6610/gitv/live1/G_CCTV-8-MD/G_CCTV-8-MD/</v>
      </c>
      <c r="D256" t="str">
        <f>LEFT(A256,B256-1)</f>
        <v>CCTV8</v>
      </c>
    </row>
    <row r="257" spans="1:4" x14ac:dyDescent="0.25">
      <c r="A257" t="s">
        <v>2151</v>
      </c>
      <c r="B257">
        <f>FIND(",",A257)</f>
        <v>6</v>
      </c>
      <c r="C257" t="str">
        <f>MID(A257,B257+1,LEN(A257)-B257)</f>
        <v>http://223.110.241.139:6610/gitv/live1/G_CCTV-9-CQ/G_CCTV-9-CQ/</v>
      </c>
      <c r="D257" t="str">
        <f>LEFT(A257,B257-1)</f>
        <v>CCTV9</v>
      </c>
    </row>
    <row r="258" spans="1:4" x14ac:dyDescent="0.25">
      <c r="A258" t="s">
        <v>2210</v>
      </c>
      <c r="B258">
        <f>FIND(",",A258)</f>
        <v>6</v>
      </c>
      <c r="C258" t="str">
        <f>MID(A258,B258+1,LEN(A258)-B258)</f>
        <v>http://223.110.241.139:6610/gitv/live1/G_CCTV-9-HD-265-8M/G_CCTV-9-HD-265-8M/</v>
      </c>
      <c r="D258" t="str">
        <f>LEFT(A258,B258-1)</f>
        <v>CCTV9</v>
      </c>
    </row>
    <row r="259" spans="1:4" x14ac:dyDescent="0.25">
      <c r="A259" t="s">
        <v>2107</v>
      </c>
      <c r="B259">
        <f>FIND(",",A259)</f>
        <v>6</v>
      </c>
      <c r="C259" t="str">
        <f>MID(A259,B259+1,LEN(A259)-B259)</f>
        <v>http://223.110.241.139:6610/gitv/live1/G_CCTV-9-HQ/G_CCTV-9-HQ/</v>
      </c>
      <c r="D259" t="str">
        <f>LEFT(A259,B259-1)</f>
        <v>CCTV9</v>
      </c>
    </row>
    <row r="260" spans="1:4" x14ac:dyDescent="0.25">
      <c r="A260" t="s">
        <v>2160</v>
      </c>
      <c r="B260">
        <f>FIND(",",A260)</f>
        <v>10</v>
      </c>
      <c r="C260" t="str">
        <f>MID(A260,B260+1,LEN(A260)-B260)</f>
        <v>http://223.110.241.139:6610/gitv/live1/G_CCTV-GOLF-CQ/G_CCTV-GOLF-CQ/</v>
      </c>
      <c r="D260" t="str">
        <f>LEFT(A260,B260-1)</f>
        <v>CCTV高尔夫网球</v>
      </c>
    </row>
    <row r="261" spans="1:4" x14ac:dyDescent="0.25">
      <c r="A261" t="s">
        <v>2214</v>
      </c>
      <c r="B261">
        <f>FIND(",",A261)</f>
        <v>10</v>
      </c>
      <c r="C261" t="str">
        <f>MID(A261,B261+1,LEN(A261)-B261)</f>
        <v>http://223.110.241.139:6610/gitv/live1/G_CCTV-GOLF-CQ/G_CCTV-GOLF-HD-265-8M/</v>
      </c>
      <c r="D261" t="str">
        <f>LEFT(A261,B261-1)</f>
        <v>CCTV高尔夫网球</v>
      </c>
    </row>
    <row r="262" spans="1:4" x14ac:dyDescent="0.25">
      <c r="A262" t="s">
        <v>2117</v>
      </c>
      <c r="B262">
        <f>FIND(",",A262)</f>
        <v>10</v>
      </c>
      <c r="C262" t="str">
        <f>MID(A262,B262+1,LEN(A262)-B262)</f>
        <v>http://223.110.241.139:6610/gitv/live1/G_CCTV-GOLF-CQ/G_CCTV-GOLF-HQ/</v>
      </c>
      <c r="D262" t="str">
        <f>LEFT(A262,B262-1)</f>
        <v>CCTV高尔夫网球</v>
      </c>
    </row>
    <row r="263" spans="1:4" x14ac:dyDescent="0.25">
      <c r="A263" t="s">
        <v>2236</v>
      </c>
      <c r="B263">
        <f>FIND(",",A263)</f>
        <v>10</v>
      </c>
      <c r="C263" t="str">
        <f>MID(A263,B263+1,LEN(A263)-B263)</f>
        <v>http://223.110.241.139:6610/gitv/live1/G_CCTV-GOLF-CQ/G_CCTV-GOLF-MD/</v>
      </c>
      <c r="D263" t="str">
        <f>LEFT(A263,B263-1)</f>
        <v>CCTV高尔夫网球</v>
      </c>
    </row>
    <row r="264" spans="1:4" x14ac:dyDescent="0.25">
      <c r="A264" t="s">
        <v>2310</v>
      </c>
      <c r="B264">
        <f>FIND(",",A264)</f>
        <v>7</v>
      </c>
      <c r="C264" t="str">
        <f>MID(A264,B264+1,LEN(A264)-B264)</f>
        <v>http://223.110.241.139:6610/gitv/live1/G_CETV-1/G_CETV-1/</v>
      </c>
      <c r="D264" t="str">
        <f>LEFT(A264,B264-1)</f>
        <v>CETV-1</v>
      </c>
    </row>
    <row r="265" spans="1:4" x14ac:dyDescent="0.25">
      <c r="A265" t="s">
        <v>2177</v>
      </c>
      <c r="B265">
        <f>FIND(",",A265)</f>
        <v>5</v>
      </c>
      <c r="C265" t="str">
        <f>MID(A265,B265+1,LEN(A265)-B265)</f>
        <v>http://223.110.241.139:6610/gitv/live1/G_CHONGQING-CQ/G_CHONGQING-CQ/</v>
      </c>
      <c r="D265" t="str">
        <f>LEFT(A265,B265-1)</f>
        <v>重庆卫视</v>
      </c>
    </row>
    <row r="266" spans="1:4" x14ac:dyDescent="0.25">
      <c r="A266" t="s">
        <v>2136</v>
      </c>
      <c r="B266">
        <f>FIND(",",A266)</f>
        <v>5</v>
      </c>
      <c r="C266" t="str">
        <f>MID(A266,B266+1,LEN(A266)-B266)</f>
        <v>http://223.110.241.139:6610/gitv/live1/G_CHONGQING-HQ/G_CHONGQING-HQ/</v>
      </c>
      <c r="D266" t="str">
        <f>LEFT(A266,B266-1)</f>
        <v>重庆卫视</v>
      </c>
    </row>
    <row r="267" spans="1:4" x14ac:dyDescent="0.25">
      <c r="A267" t="s">
        <v>2164</v>
      </c>
      <c r="B267">
        <f>FIND(",",A267)</f>
        <v>5</v>
      </c>
      <c r="C267" t="str">
        <f>MID(A267,B267+1,LEN(A267)-B267)</f>
        <v>http://223.110.241.139:6610/gitv/live1/G_DONGFANG-CQ/G_DONGFANG-CQ/</v>
      </c>
      <c r="D267" t="str">
        <f>LEFT(A267,B267-1)</f>
        <v>东方卫视</v>
      </c>
    </row>
    <row r="268" spans="1:4" x14ac:dyDescent="0.25">
      <c r="A268" t="s">
        <v>2218</v>
      </c>
      <c r="B268">
        <f>FIND(",",A268)</f>
        <v>5</v>
      </c>
      <c r="C268" t="str">
        <f>MID(A268,B268+1,LEN(A268)-B268)</f>
        <v>http://223.110.241.139:6610/gitv/live1/G_DONGFANG-HD-265-8M/G_DONGFANG-HD-265-8M/</v>
      </c>
      <c r="D268" t="str">
        <f>LEFT(A268,B268-1)</f>
        <v>东方卫视</v>
      </c>
    </row>
    <row r="269" spans="1:4" x14ac:dyDescent="0.25">
      <c r="A269" t="s">
        <v>2122</v>
      </c>
      <c r="B269">
        <f>FIND(",",A269)</f>
        <v>5</v>
      </c>
      <c r="C269" t="str">
        <f>MID(A269,B269+1,LEN(A269)-B269)</f>
        <v>http://223.110.241.139:6610/gitv/live1/G_DONGFANG-HQ/G_DONGFANG-HQ/</v>
      </c>
      <c r="D269" t="str">
        <f>LEFT(A269,B269-1)</f>
        <v>东方卫视</v>
      </c>
    </row>
    <row r="270" spans="1:4" x14ac:dyDescent="0.25">
      <c r="A270" t="s">
        <v>2239</v>
      </c>
      <c r="B270">
        <f>FIND(",",A270)</f>
        <v>5</v>
      </c>
      <c r="C270" t="str">
        <f>MID(A270,B270+1,LEN(A270)-B270)</f>
        <v>http://223.110.241.139:6610/gitv/live1/G_DONGFANG-MD/G_DONGFANG-MD/</v>
      </c>
      <c r="D270" t="str">
        <f>LEFT(A270,B270-1)</f>
        <v>东方卫视</v>
      </c>
    </row>
    <row r="271" spans="1:4" x14ac:dyDescent="0.25">
      <c r="A271" t="s">
        <v>2131</v>
      </c>
      <c r="B271">
        <f>FIND(",",A271)</f>
        <v>5</v>
      </c>
      <c r="C271" t="str">
        <f>MID(A271,B271+1,LEN(A271)-B271)</f>
        <v>http://223.110.241.139:6610/gitv/live1/G_DONGNAN-HQ/G_DONGNAN-HQ/</v>
      </c>
      <c r="D271" t="str">
        <f>LEFT(A271,B271-1)</f>
        <v>东南卫视</v>
      </c>
    </row>
    <row r="272" spans="1:4" x14ac:dyDescent="0.25">
      <c r="A272" t="s">
        <v>2183</v>
      </c>
      <c r="B272">
        <f>FIND(",",A272)</f>
        <v>5</v>
      </c>
      <c r="C272" t="str">
        <f>MID(A272,B272+1,LEN(A272)-B272)</f>
        <v>http://223.110.241.139:6610/gitv/live1/G_GANSU/G_GANSU/</v>
      </c>
      <c r="D272" t="str">
        <f>LEFT(A272,B272-1)</f>
        <v>甘肃卫视</v>
      </c>
    </row>
    <row r="273" spans="1:4" x14ac:dyDescent="0.25">
      <c r="A273" t="s">
        <v>2166</v>
      </c>
      <c r="B273">
        <f>FIND(",",A273)</f>
        <v>5</v>
      </c>
      <c r="C273" t="str">
        <f>MID(A273,B273+1,LEN(A273)-B273)</f>
        <v>http://223.110.241.139:6610/gitv/live1/G_GUANGDONG-CQ/G_GUANGDONG-CQ/</v>
      </c>
      <c r="D273" t="str">
        <f>LEFT(A273,B273-1)</f>
        <v>广东卫视</v>
      </c>
    </row>
    <row r="274" spans="1:4" x14ac:dyDescent="0.25">
      <c r="A274" t="s">
        <v>2220</v>
      </c>
      <c r="B274">
        <f>FIND(",",A274)</f>
        <v>5</v>
      </c>
      <c r="C274" t="str">
        <f>MID(A274,B274+1,LEN(A274)-B274)</f>
        <v>http://223.110.241.139:6610/gitv/live1/G_GUANGDONG-HD-265-8M/G_GUANGDONG-HD-265-8M/</v>
      </c>
      <c r="D274" t="str">
        <f>LEFT(A274,B274-1)</f>
        <v>广东卫视</v>
      </c>
    </row>
    <row r="275" spans="1:4" x14ac:dyDescent="0.25">
      <c r="A275" t="s">
        <v>2124</v>
      </c>
      <c r="B275">
        <f>FIND(",",A275)</f>
        <v>5</v>
      </c>
      <c r="C275" t="str">
        <f>MID(A275,B275+1,LEN(A275)-B275)</f>
        <v>http://223.110.241.139:6610/gitv/live1/G_GUANGDONG-HQ/G_GUANGDONG-HQ/</v>
      </c>
      <c r="D275" t="str">
        <f>LEFT(A275,B275-1)</f>
        <v>广东卫视</v>
      </c>
    </row>
    <row r="276" spans="1:4" x14ac:dyDescent="0.25">
      <c r="A276" t="s">
        <v>2240</v>
      </c>
      <c r="B276">
        <f>FIND(",",A276)</f>
        <v>5</v>
      </c>
      <c r="C276" t="str">
        <f>MID(A276,B276+1,LEN(A276)-B276)</f>
        <v>http://223.110.241.139:6610/gitv/live1/G_GUANGDONG-MD/G_GUANGDONG-MD/</v>
      </c>
      <c r="D276" t="str">
        <f>LEFT(A276,B276-1)</f>
        <v>广东卫视</v>
      </c>
    </row>
    <row r="277" spans="1:4" x14ac:dyDescent="0.25">
      <c r="A277" t="s">
        <v>2179</v>
      </c>
      <c r="B277">
        <f>FIND(",",A277)</f>
        <v>5</v>
      </c>
      <c r="C277" t="str">
        <f>MID(A277,B277+1,LEN(A277)-B277)</f>
        <v>http://223.110.241.139:6610/gitv/live1/G_GUIZHOU-CQ/G_GUIZHOU-CQ/</v>
      </c>
      <c r="D277" t="str">
        <f>LEFT(A277,B277-1)</f>
        <v>贵州卫视</v>
      </c>
    </row>
    <row r="278" spans="1:4" x14ac:dyDescent="0.25">
      <c r="A278" t="s">
        <v>2138</v>
      </c>
      <c r="B278">
        <f>FIND(",",A278)</f>
        <v>5</v>
      </c>
      <c r="C278" t="str">
        <f>MID(A278,B278+1,LEN(A278)-B278)</f>
        <v>http://223.110.241.139:6610/gitv/live1/G_GUIZHOU-HQ/G_GUIZHOU-HQ/</v>
      </c>
      <c r="D278" t="str">
        <f>LEFT(A278,B278-1)</f>
        <v>贵州卫视</v>
      </c>
    </row>
    <row r="279" spans="1:4" x14ac:dyDescent="0.25">
      <c r="A279" t="s">
        <v>2180</v>
      </c>
      <c r="B279">
        <f>FIND(",",A279)</f>
        <v>5</v>
      </c>
      <c r="C279" t="str">
        <f>MID(A279,B279+1,LEN(A279)-B279)</f>
        <v>http://223.110.241.139:6610/gitv/live1/G_HEBEI-CQ/G_HEBEI-CQ/</v>
      </c>
      <c r="D279" t="str">
        <f>LEFT(A279,B279-1)</f>
        <v>河北卫视</v>
      </c>
    </row>
    <row r="280" spans="1:4" x14ac:dyDescent="0.25">
      <c r="A280" t="s">
        <v>2140</v>
      </c>
      <c r="B280">
        <f>FIND(",",A280)</f>
        <v>5</v>
      </c>
      <c r="C280" t="str">
        <f>MID(A280,B280+1,LEN(A280)-B280)</f>
        <v>http://223.110.241.139:6610/gitv/live1/G_HEBEI-HQ/G_HEBEI-HQ/</v>
      </c>
      <c r="D280" t="str">
        <f>LEFT(A280,B280-1)</f>
        <v>河北卫视</v>
      </c>
    </row>
    <row r="281" spans="1:4" x14ac:dyDescent="0.25">
      <c r="A281" t="s">
        <v>2176</v>
      </c>
      <c r="B281">
        <f>FIND(",",A281)</f>
        <v>6</v>
      </c>
      <c r="C281" t="str">
        <f>MID(A281,B281+1,LEN(A281)-B281)</f>
        <v>http://223.110.241.139:6610/gitv/live1/G_HEILONGJIANG-CQ/G_HEILONGJIANG-CQ/</v>
      </c>
      <c r="D281" t="str">
        <f>LEFT(A281,B281-1)</f>
        <v>黑龙江卫视</v>
      </c>
    </row>
    <row r="282" spans="1:4" x14ac:dyDescent="0.25">
      <c r="A282" t="s">
        <v>2227</v>
      </c>
      <c r="B282">
        <f>FIND(",",A282)</f>
        <v>6</v>
      </c>
      <c r="C282" t="str">
        <f>MID(A282,B282+1,LEN(A282)-B282)</f>
        <v>http://223.110.241.139:6610/gitv/live1/G_HEILONGJIANG-HD-265-8M/G_HEILONGJIANG-HD-265-8M/</v>
      </c>
      <c r="D282" t="str">
        <f>LEFT(A282,B282-1)</f>
        <v>黑龙江卫视</v>
      </c>
    </row>
    <row r="283" spans="1:4" x14ac:dyDescent="0.25">
      <c r="A283" t="s">
        <v>2135</v>
      </c>
      <c r="B283">
        <f>FIND(",",A283)</f>
        <v>6</v>
      </c>
      <c r="C283" t="str">
        <f>MID(A283,B283+1,LEN(A283)-B283)</f>
        <v>http://223.110.241.139:6610/gitv/live1/G_HEILONGJIANG-HQ/G_HEILONGJIANG-HQ/</v>
      </c>
      <c r="D283" t="str">
        <f>LEFT(A283,B283-1)</f>
        <v>黑龙江卫视</v>
      </c>
    </row>
    <row r="284" spans="1:4" x14ac:dyDescent="0.25">
      <c r="A284" t="s">
        <v>2245</v>
      </c>
      <c r="B284">
        <f>FIND(",",A284)</f>
        <v>6</v>
      </c>
      <c r="C284" t="str">
        <f>MID(A284,B284+1,LEN(A284)-B284)</f>
        <v>http://223.110.241.139:6610/gitv/live1/G_HEILONGJIANG-MD/G_HEILONGJIANG-MD/</v>
      </c>
      <c r="D284" t="str">
        <f>LEFT(A284,B284-1)</f>
        <v>黑龙江卫视</v>
      </c>
    </row>
    <row r="285" spans="1:4" x14ac:dyDescent="0.25">
      <c r="A285" t="s">
        <v>2170</v>
      </c>
      <c r="B285">
        <f>FIND(",",A285)</f>
        <v>5</v>
      </c>
      <c r="C285" t="str">
        <f>MID(A285,B285+1,LEN(A285)-B285)</f>
        <v>http://223.110.241.139:6610/gitv/live1/G_HENAN-CQ/G_HENAN-CQ/</v>
      </c>
      <c r="D285" t="str">
        <f>LEFT(A285,B285-1)</f>
        <v>河南卫视</v>
      </c>
    </row>
    <row r="286" spans="1:4" x14ac:dyDescent="0.25">
      <c r="A286" t="s">
        <v>2128</v>
      </c>
      <c r="B286">
        <f>FIND(",",A286)</f>
        <v>5</v>
      </c>
      <c r="C286" t="str">
        <f>MID(A286,B286+1,LEN(A286)-B286)</f>
        <v>http://223.110.241.139:6610/gitv/live1/G_HENAN-HQ/G_HENAN-HQ/</v>
      </c>
      <c r="D286" t="str">
        <f>LEFT(A286,B286-1)</f>
        <v>河南卫视</v>
      </c>
    </row>
    <row r="287" spans="1:4" x14ac:dyDescent="0.25">
      <c r="A287" t="s">
        <v>2173</v>
      </c>
      <c r="B287">
        <f>FIND(",",A287)</f>
        <v>5</v>
      </c>
      <c r="C287" t="str">
        <f>MID(A287,B287+1,LEN(A287)-B287)</f>
        <v>http://223.110.241.139:6610/gitv/live1/G_HUBEI-CQ/G_HUBEI-CQ/</v>
      </c>
      <c r="D287" t="str">
        <f>LEFT(A287,B287-1)</f>
        <v>湖北卫视</v>
      </c>
    </row>
    <row r="288" spans="1:4" x14ac:dyDescent="0.25">
      <c r="A288" t="s">
        <v>2226</v>
      </c>
      <c r="B288">
        <f>FIND(",",A288)</f>
        <v>5</v>
      </c>
      <c r="C288" t="str">
        <f>MID(A288,B288+1,LEN(A288)-B288)</f>
        <v>http://223.110.241.139:6610/gitv/live1/G_HUBEI-HD-265-8M/G_HUBEI-HD-265-8M/</v>
      </c>
      <c r="D288" t="str">
        <f>LEFT(A288,B288-1)</f>
        <v>湖北卫视</v>
      </c>
    </row>
    <row r="289" spans="1:4" x14ac:dyDescent="0.25">
      <c r="A289" t="s">
        <v>2132</v>
      </c>
      <c r="B289">
        <f>FIND(",",A289)</f>
        <v>5</v>
      </c>
      <c r="C289" t="str">
        <f>MID(A289,B289+1,LEN(A289)-B289)</f>
        <v>http://223.110.241.139:6610/gitv/live1/G_HUBEI-HQ/G_HUBEI-HQ/</v>
      </c>
      <c r="D289" t="str">
        <f>LEFT(A289,B289-1)</f>
        <v>湖北卫视</v>
      </c>
    </row>
    <row r="290" spans="1:4" x14ac:dyDescent="0.25">
      <c r="A290" t="s">
        <v>2244</v>
      </c>
      <c r="B290">
        <f>FIND(",",A290)</f>
        <v>5</v>
      </c>
      <c r="C290" t="str">
        <f>MID(A290,B290+1,LEN(A290)-B290)</f>
        <v>http://223.110.241.139:6610/gitv/live1/G_HUBEI-MD/G_HUBEI-MD/</v>
      </c>
      <c r="D290" t="str">
        <f>LEFT(A290,B290-1)</f>
        <v>湖北卫视</v>
      </c>
    </row>
    <row r="291" spans="1:4" x14ac:dyDescent="0.25">
      <c r="A291" t="s">
        <v>2163</v>
      </c>
      <c r="B291">
        <f>FIND(",",A291)</f>
        <v>5</v>
      </c>
      <c r="C291" t="str">
        <f>MID(A291,B291+1,LEN(A291)-B291)</f>
        <v>http://223.110.241.139:6610/gitv/live1/G_HUNAN-CQ/G_HUNAN-CQ/</v>
      </c>
      <c r="D291" t="str">
        <f>LEFT(A291,B291-1)</f>
        <v>湖南卫视</v>
      </c>
    </row>
    <row r="292" spans="1:4" x14ac:dyDescent="0.25">
      <c r="A292" t="s">
        <v>2217</v>
      </c>
      <c r="B292">
        <f>FIND(",",A292)</f>
        <v>5</v>
      </c>
      <c r="C292" t="str">
        <f>MID(A292,B292+1,LEN(A292)-B292)</f>
        <v>http://223.110.241.139:6610/gitv/live1/G_HUNAN-HD-265-8M/G_HUNAN-HD-265-8M/</v>
      </c>
      <c r="D292" t="str">
        <f>LEFT(A292,B292-1)</f>
        <v>湖南卫视</v>
      </c>
    </row>
    <row r="293" spans="1:4" x14ac:dyDescent="0.25">
      <c r="A293" t="s">
        <v>2121</v>
      </c>
      <c r="B293">
        <f>FIND(",",A293)</f>
        <v>5</v>
      </c>
      <c r="C293" t="str">
        <f>MID(A293,B293+1,LEN(A293)-B293)</f>
        <v>http://223.110.241.139:6610/gitv/live1/G_HUNAN-HQ/G_HUNAN-HQ/</v>
      </c>
      <c r="D293" t="str">
        <f>LEFT(A293,B293-1)</f>
        <v>湖南卫视</v>
      </c>
    </row>
    <row r="294" spans="1:4" x14ac:dyDescent="0.25">
      <c r="A294" t="s">
        <v>2238</v>
      </c>
      <c r="B294">
        <f>FIND(",",A294)</f>
        <v>5</v>
      </c>
      <c r="C294" t="str">
        <f>MID(A294,B294+1,LEN(A294)-B294)</f>
        <v>http://223.110.241.139:6610/gitv/live1/G_HUNAN-MD/G_HUNAN-MD/</v>
      </c>
      <c r="D294" t="str">
        <f>LEFT(A294,B294-1)</f>
        <v>湖南卫视</v>
      </c>
    </row>
    <row r="295" spans="1:4" x14ac:dyDescent="0.25">
      <c r="A295" t="s">
        <v>2200</v>
      </c>
      <c r="B295">
        <f>FIND(",",A295)</f>
        <v>5</v>
      </c>
      <c r="C295" t="str">
        <f>MID(A295,B295+1,LEN(A295)-B295)</f>
        <v>http://223.110.241.139:6610/gitv/live1/G_JIAJIA/G_JIAJIA/</v>
      </c>
      <c r="D295" t="str">
        <f>LEFT(A295,B295-1)</f>
        <v>嘉佳卡通</v>
      </c>
    </row>
    <row r="296" spans="1:4" x14ac:dyDescent="0.25">
      <c r="A296" t="s">
        <v>2161</v>
      </c>
      <c r="B296">
        <f>FIND(",",A296)</f>
        <v>5</v>
      </c>
      <c r="C296" t="str">
        <f>MID(A296,B296+1,LEN(A296)-B296)</f>
        <v>http://223.110.241.139:6610/gitv/live1/G_JIANGSU-CQ/G_JIANGSU-CQ/</v>
      </c>
      <c r="D296" t="str">
        <f>LEFT(A296,B296-1)</f>
        <v>江苏卫视</v>
      </c>
    </row>
    <row r="297" spans="1:4" x14ac:dyDescent="0.25">
      <c r="A297" t="s">
        <v>2215</v>
      </c>
      <c r="B297">
        <f>FIND(",",A297)</f>
        <v>5</v>
      </c>
      <c r="C297" t="str">
        <f>MID(A297,B297+1,LEN(A297)-B297)</f>
        <v>http://223.110.241.139:6610/gitv/live1/G_JIANGSU-HD-265-8M/G_JIANGSU-HD-265-8M/</v>
      </c>
      <c r="D297" t="str">
        <f>LEFT(A297,B297-1)</f>
        <v>江苏卫视</v>
      </c>
    </row>
    <row r="298" spans="1:4" x14ac:dyDescent="0.25">
      <c r="A298" t="s">
        <v>2118</v>
      </c>
      <c r="B298">
        <f>FIND(",",A298)</f>
        <v>5</v>
      </c>
      <c r="C298" t="str">
        <f>MID(A298,B298+1,LEN(A298)-B298)</f>
        <v>http://223.110.241.139:6610/gitv/live1/G_JIANGSU-HQ/G_JIANGSU-HQ/</v>
      </c>
      <c r="D298" t="str">
        <f>LEFT(A298,B298-1)</f>
        <v>江苏卫视</v>
      </c>
    </row>
    <row r="299" spans="1:4" x14ac:dyDescent="0.25">
      <c r="A299" t="s">
        <v>2175</v>
      </c>
      <c r="B299">
        <f>FIND(",",A299)</f>
        <v>5</v>
      </c>
      <c r="C299" t="str">
        <f>MID(A299,B299+1,LEN(A299)-B299)</f>
        <v>http://223.110.241.139:6610/gitv/live1/G_JIANGXI-CQ/G_JIANGXI-CQ/</v>
      </c>
      <c r="D299" t="str">
        <f>LEFT(A299,B299-1)</f>
        <v>江西卫视</v>
      </c>
    </row>
    <row r="300" spans="1:4" x14ac:dyDescent="0.25">
      <c r="A300" t="s">
        <v>2134</v>
      </c>
      <c r="B300">
        <f>FIND(",",A300)</f>
        <v>5</v>
      </c>
      <c r="C300" t="str">
        <f>MID(A300,B300+1,LEN(A300)-B300)</f>
        <v>http://223.110.241.139:6610/gitv/live1/G_JIANGXI-HQ/G_JIANGXI-HQ/</v>
      </c>
      <c r="D300" t="str">
        <f>LEFT(A300,B300-1)</f>
        <v>江西卫视</v>
      </c>
    </row>
    <row r="301" spans="1:4" x14ac:dyDescent="0.25">
      <c r="A301" t="s">
        <v>2174</v>
      </c>
      <c r="B301">
        <f>FIND(",",A301)</f>
        <v>5</v>
      </c>
      <c r="C301" t="str">
        <f>MID(A301,B301+1,LEN(A301)-B301)</f>
        <v>http://223.110.241.139:6610/gitv/live1/G_JILIN-CQ/G_JILIN-CQ/</v>
      </c>
      <c r="D301" t="str">
        <f>LEFT(A301,B301-1)</f>
        <v>吉林卫视</v>
      </c>
    </row>
    <row r="302" spans="1:4" x14ac:dyDescent="0.25">
      <c r="A302" t="s">
        <v>2133</v>
      </c>
      <c r="B302">
        <f>FIND(",",A302)</f>
        <v>5</v>
      </c>
      <c r="C302" t="str">
        <f>MID(A302,B302+1,LEN(A302)-B302)</f>
        <v>http://223.110.241.139:6610/gitv/live1/G_JILIN-HQ/G_JILIN-HQ/</v>
      </c>
      <c r="D302" t="str">
        <f>LEFT(A302,B302-1)</f>
        <v>吉林卫视</v>
      </c>
    </row>
    <row r="303" spans="1:4" x14ac:dyDescent="0.25">
      <c r="A303" t="s">
        <v>2198</v>
      </c>
      <c r="B303">
        <f>FIND(",",A303)</f>
        <v>5</v>
      </c>
      <c r="C303" t="str">
        <f>MID(A303,B303+1,LEN(A303)-B303)</f>
        <v>http://223.110.241.139:6610/gitv/live1/G_JINYING/G_JINYING/</v>
      </c>
      <c r="D303" t="str">
        <f>LEFT(A303,B303-1)</f>
        <v>金鹰卡通</v>
      </c>
    </row>
    <row r="304" spans="1:4" x14ac:dyDescent="0.25">
      <c r="A304" t="s">
        <v>2311</v>
      </c>
      <c r="B304">
        <f>FIND(",",A304)</f>
        <v>5</v>
      </c>
      <c r="C304" t="str">
        <f>MID(A304,B304+1,LEN(A304)-B304)</f>
        <v>http://223.110.241.139:6610/gitv/live1/G_JSCS/G_JSCS/</v>
      </c>
      <c r="D304" t="str">
        <f>LEFT(A304,B304-1)</f>
        <v>江苏城市</v>
      </c>
    </row>
    <row r="305" spans="1:4" x14ac:dyDescent="0.25">
      <c r="A305" t="s">
        <v>2312</v>
      </c>
      <c r="B305">
        <f>FIND(",",A305)</f>
        <v>5</v>
      </c>
      <c r="C305" t="str">
        <f>MID(A305,B305+1,LEN(A305)-B305)</f>
        <v>http://223.110.241.139:6610/gitv/live1/G_JSGG/G_JSGG/</v>
      </c>
      <c r="D305" t="str">
        <f>LEFT(A305,B305-1)</f>
        <v>江苏公共</v>
      </c>
    </row>
    <row r="306" spans="1:4" x14ac:dyDescent="0.25">
      <c r="A306" t="s">
        <v>2313</v>
      </c>
      <c r="B306">
        <f>FIND(",",A306)</f>
        <v>7</v>
      </c>
      <c r="C306" t="str">
        <f>MID(A306,B306+1,LEN(A306)-B306)</f>
        <v>http://223.110.241.139:6610/gitv/live1/G_JSTY/G_JSTY/</v>
      </c>
      <c r="D306" t="str">
        <f>LEFT(A306,B306-1)</f>
        <v>江苏休闲体育</v>
      </c>
    </row>
    <row r="307" spans="1:4" x14ac:dyDescent="0.25">
      <c r="A307" t="s">
        <v>2314</v>
      </c>
      <c r="B307">
        <f>FIND(",",A307)</f>
        <v>5</v>
      </c>
      <c r="C307" t="str">
        <f>MID(A307,B307+1,LEN(A307)-B307)</f>
        <v>http://223.110.241.139:6610/gitv/live1/G_JSZY/G_JSZY/</v>
      </c>
      <c r="D307" t="str">
        <f>LEFT(A307,B307-1)</f>
        <v>江苏综艺</v>
      </c>
    </row>
    <row r="308" spans="1:4" x14ac:dyDescent="0.25">
      <c r="A308" t="s">
        <v>2197</v>
      </c>
      <c r="B308">
        <f>FIND(",",A308)</f>
        <v>5</v>
      </c>
      <c r="C308" t="str">
        <f>MID(A308,B308+1,LEN(A308)-B308)</f>
        <v>http://223.110.241.139:6610/gitv/live1/G_KAKU/G_KAKU/</v>
      </c>
      <c r="D308" t="str">
        <f>LEFT(A308,B308-1)</f>
        <v>卡酷少儿</v>
      </c>
    </row>
    <row r="309" spans="1:4" x14ac:dyDescent="0.25">
      <c r="A309" t="s">
        <v>2194</v>
      </c>
      <c r="B309">
        <f>FIND(",",A309)</f>
        <v>5</v>
      </c>
      <c r="C309" t="str">
        <f>MID(A309,B309+1,LEN(A309)-B309)</f>
        <v>http://223.110.241.139:6610/gitv/live1/G_KANGBA/G_KANGBA/</v>
      </c>
      <c r="D309" t="str">
        <f>LEFT(A309,B309-1)</f>
        <v>康巴卫视</v>
      </c>
    </row>
    <row r="310" spans="1:4" x14ac:dyDescent="0.25">
      <c r="A310" t="s">
        <v>2172</v>
      </c>
      <c r="B310">
        <f>FIND(",",A310)</f>
        <v>5</v>
      </c>
      <c r="C310" t="str">
        <f>MID(A310,B310+1,LEN(A310)-B310)</f>
        <v>http://223.110.241.139:6610/gitv/live1/G_LIAONING-CQ/G_LIAONING-CQ/</v>
      </c>
      <c r="D310" t="str">
        <f>LEFT(A310,B310-1)</f>
        <v>辽宁卫视</v>
      </c>
    </row>
    <row r="311" spans="1:4" x14ac:dyDescent="0.25">
      <c r="A311" t="s">
        <v>2225</v>
      </c>
      <c r="B311">
        <f>FIND(",",A311)</f>
        <v>5</v>
      </c>
      <c r="C311" t="str">
        <f>MID(A311,B311+1,LEN(A311)-B311)</f>
        <v>http://223.110.241.139:6610/gitv/live1/G_LIAONING-HD-265-8M/G_LIAONING-HD-265-8M/</v>
      </c>
      <c r="D311" t="str">
        <f>LEFT(A311,B311-1)</f>
        <v>辽宁卫视</v>
      </c>
    </row>
    <row r="312" spans="1:4" x14ac:dyDescent="0.25">
      <c r="A312" t="s">
        <v>2130</v>
      </c>
      <c r="B312">
        <f>FIND(",",A312)</f>
        <v>5</v>
      </c>
      <c r="C312" t="str">
        <f>MID(A312,B312+1,LEN(A312)-B312)</f>
        <v>http://223.110.241.139:6610/gitv/live1/G_LIAONING-HQ/G_LIAONING-HQ/</v>
      </c>
      <c r="D312" t="str">
        <f>LEFT(A312,B312-1)</f>
        <v>辽宁卫视</v>
      </c>
    </row>
    <row r="313" spans="1:4" x14ac:dyDescent="0.25">
      <c r="A313" t="s">
        <v>2243</v>
      </c>
      <c r="B313">
        <f>FIND(",",A313)</f>
        <v>5</v>
      </c>
      <c r="C313" t="str">
        <f>MID(A313,B313+1,LEN(A313)-B313)</f>
        <v>http://223.110.241.139:6610/gitv/live1/G_LIAONING-MD/G_LIAONING-MD/</v>
      </c>
      <c r="D313" t="str">
        <f>LEFT(A313,B313-1)</f>
        <v>辽宁卫视</v>
      </c>
    </row>
    <row r="314" spans="1:4" x14ac:dyDescent="0.25">
      <c r="A314" t="s">
        <v>2190</v>
      </c>
      <c r="B314">
        <f>FIND(",",A314)</f>
        <v>6</v>
      </c>
      <c r="C314" t="str">
        <f>MID(A314,B314+1,LEN(A314)-B314)</f>
        <v>http://223.110.241.139:6610/gitv/live1/G_NEIMENGGU/G_NEIMENGGU/</v>
      </c>
      <c r="D314" t="str">
        <f>LEFT(A314,B314-1)</f>
        <v>内蒙古卫视</v>
      </c>
    </row>
    <row r="315" spans="1:4" x14ac:dyDescent="0.25">
      <c r="A315" t="s">
        <v>2184</v>
      </c>
      <c r="B315">
        <f>FIND(",",A315)</f>
        <v>5</v>
      </c>
      <c r="C315" t="str">
        <f>MID(A315,B315+1,LEN(A315)-B315)</f>
        <v>http://223.110.241.139:6610/gitv/live1/G_NINGXIA/G_NINGXIA/</v>
      </c>
      <c r="D315" t="str">
        <f>LEFT(A315,B315-1)</f>
        <v>宁夏卫视</v>
      </c>
    </row>
    <row r="316" spans="1:4" x14ac:dyDescent="0.25">
      <c r="A316" t="s">
        <v>2316</v>
      </c>
      <c r="B316">
        <f>FIND(",",A316)</f>
        <v>5</v>
      </c>
      <c r="C316" t="str">
        <f>MID(A316,B316+1,LEN(A316)-B316)</f>
        <v>http://223.110.241.139:6610/gitv/live1/G_NJJK/G_NJJK/</v>
      </c>
      <c r="D316" t="str">
        <f>LEFT(A316,B316-1)</f>
        <v>南京科教</v>
      </c>
    </row>
    <row r="317" spans="1:4" x14ac:dyDescent="0.25">
      <c r="A317" t="s">
        <v>2317</v>
      </c>
      <c r="B317">
        <f>FIND(",",A317)</f>
        <v>5</v>
      </c>
      <c r="C317" t="str">
        <f>MID(A317,B317+1,LEN(A317)-B317)</f>
        <v>http://223.110.241.139:6610/gitv/live1/G_NJSB/G_NJSB/</v>
      </c>
      <c r="D317" t="str">
        <f>LEFT(A317,B317-1)</f>
        <v>南京十八</v>
      </c>
    </row>
    <row r="318" spans="1:4" x14ac:dyDescent="0.25">
      <c r="A318" t="s">
        <v>2315</v>
      </c>
      <c r="B318">
        <f>FIND(",",A318)</f>
        <v>7</v>
      </c>
      <c r="C318" t="str">
        <f>MID(A318,B318+1,LEN(A318)-B318)</f>
        <v>http://223.110.241.139:6610/gitv/live1/G_NJXW/G_NJXW/</v>
      </c>
      <c r="D318" t="str">
        <f>LEFT(A318,B318-1)</f>
        <v>南京新闻综合</v>
      </c>
    </row>
    <row r="319" spans="1:4" x14ac:dyDescent="0.25">
      <c r="A319" t="s">
        <v>2192</v>
      </c>
      <c r="B319">
        <f>FIND(",",A319)</f>
        <v>5</v>
      </c>
      <c r="C319" t="str">
        <f>MID(A319,B319+1,LEN(A319)-B319)</f>
        <v>http://223.110.241.139:6610/gitv/live1/G_NONGLIN/G_NONGLIN/</v>
      </c>
      <c r="D319" t="str">
        <f>LEFT(A319,B319-1)</f>
        <v>农林卫视</v>
      </c>
    </row>
    <row r="320" spans="1:4" x14ac:dyDescent="0.25">
      <c r="A320" t="s">
        <v>2182</v>
      </c>
      <c r="B320">
        <f>FIND(",",A320)</f>
        <v>5</v>
      </c>
      <c r="C320" t="str">
        <f>MID(A320,B320+1,LEN(A320)-B320)</f>
        <v>http://223.110.241.139:6610/gitv/live1/G_QINGHAI/G_QINGHAI/</v>
      </c>
      <c r="D320" t="str">
        <f>LEFT(A320,B320-1)</f>
        <v>青海卫视</v>
      </c>
    </row>
    <row r="321" spans="1:4" x14ac:dyDescent="0.25">
      <c r="A321" t="s">
        <v>2181</v>
      </c>
      <c r="B321">
        <f>FIND(",",A321)</f>
        <v>5</v>
      </c>
      <c r="C321" t="str">
        <f>MID(A321,B321+1,LEN(A321)-B321)</f>
        <v>http://223.110.241.139:6610/gitv/live1/G_SANSHA-HQ/G_SANSHA-CQ/</v>
      </c>
      <c r="D321" t="str">
        <f>LEFT(A321,B321-1)</f>
        <v>三沙卫视</v>
      </c>
    </row>
    <row r="322" spans="1:4" x14ac:dyDescent="0.25">
      <c r="A322" t="s">
        <v>2141</v>
      </c>
      <c r="B322">
        <f>FIND(",",A322)</f>
        <v>5</v>
      </c>
      <c r="C322" t="str">
        <f>MID(A322,B322+1,LEN(A322)-B322)</f>
        <v>http://223.110.241.139:6610/gitv/live1/G_SANSHA-HQ/G_SANSHA-HQ/</v>
      </c>
      <c r="D322" t="str">
        <f>LEFT(A322,B322-1)</f>
        <v>三沙卫视</v>
      </c>
    </row>
    <row r="323" spans="1:4" x14ac:dyDescent="0.25">
      <c r="A323" t="s">
        <v>2169</v>
      </c>
      <c r="B323">
        <f>FIND(",",A323)</f>
        <v>5</v>
      </c>
      <c r="C323" t="str">
        <f>MID(A323,B323+1,LEN(A323)-B323)</f>
        <v>http://223.110.241.139:6610/gitv/live1/G_SHANDONG-CQ/G_SHANDONG-CQ/</v>
      </c>
      <c r="D323" t="str">
        <f>LEFT(A323,B323-1)</f>
        <v>山东卫视</v>
      </c>
    </row>
    <row r="324" spans="1:4" x14ac:dyDescent="0.25">
      <c r="A324" t="s">
        <v>2223</v>
      </c>
      <c r="B324">
        <f>FIND(",",A324)</f>
        <v>5</v>
      </c>
      <c r="C324" t="str">
        <f>MID(A324,B324+1,LEN(A324)-B324)</f>
        <v>http://223.110.241.139:6610/gitv/live1/G_SHANDONG-HD-265-8M/G_SHANDONG-HD-265-8M/</v>
      </c>
      <c r="D324" t="str">
        <f>LEFT(A324,B324-1)</f>
        <v>山东卫视</v>
      </c>
    </row>
    <row r="325" spans="1:4" x14ac:dyDescent="0.25">
      <c r="A325" t="s">
        <v>2127</v>
      </c>
      <c r="B325">
        <f>FIND(",",A325)</f>
        <v>5</v>
      </c>
      <c r="C325" t="str">
        <f>MID(A325,B325+1,LEN(A325)-B325)</f>
        <v>http://223.110.241.139:6610/gitv/live1/G_SHANDONG-HQ/G_SHANDONG-HQ/</v>
      </c>
      <c r="D325" t="str">
        <f>LEFT(A325,B325-1)</f>
        <v>山东卫视</v>
      </c>
    </row>
    <row r="326" spans="1:4" x14ac:dyDescent="0.25">
      <c r="A326" t="s">
        <v>2242</v>
      </c>
      <c r="B326">
        <f>FIND(",",A326)</f>
        <v>5</v>
      </c>
      <c r="C326" t="str">
        <f>MID(A326,B326+1,LEN(A326)-B326)</f>
        <v>http://223.110.241.139:6610/gitv/live1/G_SHANDONG-MD/G_SHANDONG-MD/</v>
      </c>
      <c r="D326" t="str">
        <f>LEFT(A326,B326-1)</f>
        <v>山东卫视</v>
      </c>
    </row>
    <row r="327" spans="1:4" x14ac:dyDescent="0.25">
      <c r="A327" t="s">
        <v>2186</v>
      </c>
      <c r="B327">
        <f>FIND(",",A327)</f>
        <v>5</v>
      </c>
      <c r="C327" t="str">
        <f>MID(A327,B327+1,LEN(A327)-B327)</f>
        <v>http://223.110.241.139:6610/gitv/live1/G_SHANXI/G_SHANXI/</v>
      </c>
      <c r="D327" t="str">
        <f>LEFT(A327,B327-1)</f>
        <v>陕西卫视</v>
      </c>
    </row>
    <row r="328" spans="1:4" x14ac:dyDescent="0.25">
      <c r="A328" t="s">
        <v>2168</v>
      </c>
      <c r="B328">
        <f>FIND(",",A328)</f>
        <v>5</v>
      </c>
      <c r="C328" t="str">
        <f>MID(A328,B328+1,LEN(A328)-B328)</f>
        <v>http://223.110.241.139:6610/gitv/live1/G_SHENZHEN-CQ/G_SHENZHEN-CQ/</v>
      </c>
      <c r="D328" t="str">
        <f>LEFT(A328,B328-1)</f>
        <v>深圳卫视</v>
      </c>
    </row>
    <row r="329" spans="1:4" x14ac:dyDescent="0.25">
      <c r="A329" t="s">
        <v>2222</v>
      </c>
      <c r="B329">
        <f>FIND(",",A329)</f>
        <v>5</v>
      </c>
      <c r="C329" t="str">
        <f>MID(A329,B329+1,LEN(A329)-B329)</f>
        <v>http://223.110.241.139:6610/gitv/live1/G_SHENZHEN-HD-265-8M/G_SHENZHEN-HD-265-8M/</v>
      </c>
      <c r="D329" t="str">
        <f>LEFT(A329,B329-1)</f>
        <v>深圳卫视</v>
      </c>
    </row>
    <row r="330" spans="1:4" x14ac:dyDescent="0.25">
      <c r="A330" t="s">
        <v>2126</v>
      </c>
      <c r="B330">
        <f>FIND(",",A330)</f>
        <v>5</v>
      </c>
      <c r="C330" t="str">
        <f>MID(A330,B330+1,LEN(A330)-B330)</f>
        <v>http://223.110.241.139:6610/gitv/live1/G_SHENZHEN-HQ/G_SHENZHEN-HQ/</v>
      </c>
      <c r="D330" t="str">
        <f>LEFT(A330,B330-1)</f>
        <v>深圳卫视</v>
      </c>
    </row>
    <row r="331" spans="1:4" x14ac:dyDescent="0.25">
      <c r="A331" t="s">
        <v>2178</v>
      </c>
      <c r="B331">
        <f>FIND(",",A331)</f>
        <v>5</v>
      </c>
      <c r="C331" t="str">
        <f>MID(A331,B331+1,LEN(A331)-B331)</f>
        <v>http://223.110.241.139:6610/gitv/live1/G_SICHUAN-CQ/G_SICHUAN-CQ/</v>
      </c>
      <c r="D331" t="str">
        <f>LEFT(A331,B331-1)</f>
        <v>四川卫视</v>
      </c>
    </row>
    <row r="332" spans="1:4" x14ac:dyDescent="0.25">
      <c r="A332" t="s">
        <v>2137</v>
      </c>
      <c r="B332">
        <f>FIND(",",A332)</f>
        <v>5</v>
      </c>
      <c r="C332" t="str">
        <f>MID(A332,B332+1,LEN(A332)-B332)</f>
        <v>http://223.110.241.139:6610/gitv/live1/G_SICHUAN-HQ/G_SICHUAN-HQ/</v>
      </c>
      <c r="D332" t="str">
        <f>LEFT(A332,B332-1)</f>
        <v>四川卫视</v>
      </c>
    </row>
    <row r="333" spans="1:4" x14ac:dyDescent="0.25">
      <c r="A333" t="s">
        <v>2167</v>
      </c>
      <c r="B333">
        <f>FIND(",",A333)</f>
        <v>5</v>
      </c>
      <c r="C333" t="str">
        <f>MID(A333,B333+1,LEN(A333)-B333)</f>
        <v>http://223.110.241.139:6610/gitv/live1/G_TIANJIN-CQ/G_TIANJIN-CQ/</v>
      </c>
      <c r="D333" t="str">
        <f>LEFT(A333,B333-1)</f>
        <v>天津卫视</v>
      </c>
    </row>
    <row r="334" spans="1:4" x14ac:dyDescent="0.25">
      <c r="A334" t="s">
        <v>2221</v>
      </c>
      <c r="B334">
        <f>FIND(",",A334)</f>
        <v>5</v>
      </c>
      <c r="C334" t="str">
        <f>MID(A334,B334+1,LEN(A334)-B334)</f>
        <v>http://223.110.241.139:6610/gitv/live1/G_TIANJIN-HD-265-8M/G_TIANJIN-HD-265-8M/</v>
      </c>
      <c r="D334" t="str">
        <f>LEFT(A334,B334-1)</f>
        <v>天津卫视</v>
      </c>
    </row>
    <row r="335" spans="1:4" x14ac:dyDescent="0.25">
      <c r="A335" t="s">
        <v>2125</v>
      </c>
      <c r="B335">
        <f>FIND(",",A335)</f>
        <v>5</v>
      </c>
      <c r="C335" t="str">
        <f>MID(A335,B335+1,LEN(A335)-B335)</f>
        <v>http://223.110.241.139:6610/gitv/live1/G_TIANJIN-HQ/G_TIANJIN-HQ/</v>
      </c>
      <c r="D335" t="str">
        <f>LEFT(A335,B335-1)</f>
        <v>天津卫视</v>
      </c>
    </row>
    <row r="336" spans="1:4" x14ac:dyDescent="0.25">
      <c r="A336" t="s">
        <v>2241</v>
      </c>
      <c r="B336">
        <f>FIND(",",A336)</f>
        <v>5</v>
      </c>
      <c r="C336" t="str">
        <f>MID(A336,B336+1,LEN(A336)-B336)</f>
        <v>http://223.110.241.139:6610/gitv/live1/G_TIANJIN-MD/G_TIANJIN-MD/</v>
      </c>
      <c r="D336" t="str">
        <f>LEFT(A336,B336-1)</f>
        <v>天津卫视</v>
      </c>
    </row>
    <row r="337" spans="1:4" x14ac:dyDescent="0.25">
      <c r="A337" t="s">
        <v>2191</v>
      </c>
      <c r="B337">
        <f>FIND(",",A337)</f>
        <v>5</v>
      </c>
      <c r="C337" t="str">
        <f>MID(A337,B337+1,LEN(A337)-B337)</f>
        <v>http://223.110.241.139:6610/gitv/live1/G_XIAMEN/G_XIAMEN/</v>
      </c>
      <c r="D337" t="str">
        <f>LEFT(A337,B337-1)</f>
        <v>厦门卫视</v>
      </c>
    </row>
    <row r="338" spans="1:4" x14ac:dyDescent="0.25">
      <c r="A338" t="s">
        <v>2188</v>
      </c>
      <c r="B338">
        <f>FIND(",",A338)</f>
        <v>5</v>
      </c>
      <c r="C338" t="str">
        <f>MID(A338,B338+1,LEN(A338)-B338)</f>
        <v>http://223.110.241.139:6610/gitv/live1/G_XINJIANG/G_XINJIANG/</v>
      </c>
      <c r="D338" t="str">
        <f>LEFT(A338,B338-1)</f>
        <v>新疆卫视</v>
      </c>
    </row>
    <row r="339" spans="1:4" x14ac:dyDescent="0.25">
      <c r="A339" t="s">
        <v>2187</v>
      </c>
      <c r="B339">
        <f>FIND(",",A339)</f>
        <v>5</v>
      </c>
      <c r="C339" t="str">
        <f>MID(A339,B339+1,LEN(A339)-B339)</f>
        <v>http://223.110.241.139:6610/gitv/live1/G_XIZANG/G_XIZANG/</v>
      </c>
      <c r="D339" t="str">
        <f>LEFT(A339,B339-1)</f>
        <v>西藏卫视</v>
      </c>
    </row>
    <row r="340" spans="1:4" x14ac:dyDescent="0.25">
      <c r="A340" t="s">
        <v>2195</v>
      </c>
      <c r="B340">
        <f>FIND(",",A340)</f>
        <v>5</v>
      </c>
      <c r="C340" t="str">
        <f>MID(A340,B340+1,LEN(A340)-B340)</f>
        <v>http://223.110.241.139:6610/gitv/live1/G_YANBIAN/G_YANBIAN/</v>
      </c>
      <c r="D340" t="str">
        <f>LEFT(A340,B340-1)</f>
        <v>延边卫视</v>
      </c>
    </row>
    <row r="341" spans="1:4" x14ac:dyDescent="0.25">
      <c r="A341" t="s">
        <v>2199</v>
      </c>
      <c r="B341">
        <f>FIND(",",A341)</f>
        <v>5</v>
      </c>
      <c r="C341" t="str">
        <f>MID(A341,B341+1,LEN(A341)-B341)</f>
        <v>http://223.110.241.139:6610/gitv/live1/G_YOUMAN/G_YOUMAN/</v>
      </c>
      <c r="D341" t="str">
        <f>LEFT(A341,B341-1)</f>
        <v>优漫卡通</v>
      </c>
    </row>
    <row r="342" spans="1:4" x14ac:dyDescent="0.25">
      <c r="A342" t="s">
        <v>2139</v>
      </c>
      <c r="B342">
        <f>FIND(",",A342)</f>
        <v>5</v>
      </c>
      <c r="C342" t="str">
        <f>MID(A342,B342+1,LEN(A342)-B342)</f>
        <v>http://223.110.241.139:6610/gitv/live1/G_YUNNAN-HQ/G_YUNNAN-HQ/</v>
      </c>
      <c r="D342" t="str">
        <f>LEFT(A342,B342-1)</f>
        <v>云南卫视</v>
      </c>
    </row>
    <row r="343" spans="1:4" x14ac:dyDescent="0.25">
      <c r="A343" t="s">
        <v>2165</v>
      </c>
      <c r="B343">
        <f>FIND(",",A343)</f>
        <v>5</v>
      </c>
      <c r="C343" t="str">
        <f>MID(A343,B343+1,LEN(A343)-B343)</f>
        <v>http://223.110.241.139:6610/gitv/live1/G_ZHEJIANG-CQ/G_ZHEJIANG-CQ/</v>
      </c>
      <c r="D343" t="str">
        <f>LEFT(A343,B343-1)</f>
        <v>浙江卫视</v>
      </c>
    </row>
    <row r="344" spans="1:4" x14ac:dyDescent="0.25">
      <c r="A344" t="s">
        <v>2219</v>
      </c>
      <c r="B344">
        <f>FIND(",",A344)</f>
        <v>5</v>
      </c>
      <c r="C344" t="str">
        <f>MID(A344,B344+1,LEN(A344)-B344)</f>
        <v>http://223.110.241.139:6610/gitv/live1/G_ZHEJIANG-HD-265-8M/G_ZHEJIANG-HD-265-8M/</v>
      </c>
      <c r="D344" t="str">
        <f>LEFT(A344,B344-1)</f>
        <v>浙江卫视</v>
      </c>
    </row>
    <row r="345" spans="1:4" x14ac:dyDescent="0.25">
      <c r="A345" t="s">
        <v>2123</v>
      </c>
      <c r="B345">
        <f>FIND(",",A345)</f>
        <v>5</v>
      </c>
      <c r="C345" t="str">
        <f>MID(A345,B345+1,LEN(A345)-B345)</f>
        <v>http://223.110.241.139:6610/gitv/live1/G_ZHEJIANG-HQ/G_ZHEJIANG-HQ/</v>
      </c>
      <c r="D345" t="str">
        <f>LEFT(A345,B345-1)</f>
        <v>浙江卫视</v>
      </c>
    </row>
    <row r="346" spans="1:4" x14ac:dyDescent="0.25">
      <c r="A346" t="s">
        <v>2283</v>
      </c>
      <c r="B346">
        <f>FIND(",",A346)</f>
        <v>5</v>
      </c>
      <c r="C346" t="str">
        <f>MID(A346,B346+1,LEN(A346)-B346)</f>
        <v>http://223.110.241.139:6610/gitv/live1/GXWS/GXWS/</v>
      </c>
      <c r="D346" t="str">
        <f>LEFT(A346,B346-1)</f>
        <v>广西卫视</v>
      </c>
    </row>
    <row r="347" spans="1:4" x14ac:dyDescent="0.25">
      <c r="A347" t="s">
        <v>2185</v>
      </c>
      <c r="B347">
        <f>FIND(",",A347)</f>
        <v>5</v>
      </c>
      <c r="C347" t="str">
        <f>MID(A347,B347+1,LEN(A347)-B347)</f>
        <v>http://223.110.241.139:6610/gitv/live1/SXWS/SXWS/</v>
      </c>
      <c r="D347" t="str">
        <f>LEFT(A347,B347-1)</f>
        <v>山西卫视</v>
      </c>
    </row>
    <row r="348" spans="1:4" x14ac:dyDescent="0.25">
      <c r="A348" t="s">
        <v>2256</v>
      </c>
      <c r="B348">
        <f>FIND(",",A348)</f>
        <v>6</v>
      </c>
      <c r="C348" t="str">
        <f>MID(A348,B348+1,LEN(A348)-B348)</f>
        <v>http://223.110.241.204:6610/gitv/live1/CCTV-5/CCTV-5/</v>
      </c>
      <c r="D348" t="str">
        <f>LEFT(A348,B348-1)</f>
        <v>CCTV5</v>
      </c>
    </row>
    <row r="349" spans="1:4" x14ac:dyDescent="0.25">
      <c r="A349" t="s">
        <v>2276</v>
      </c>
      <c r="B349">
        <f>FIND(",",A349)</f>
        <v>5</v>
      </c>
      <c r="C349" t="str">
        <f>MID(A349,B349+1,LEN(A349)-B349)</f>
        <v>http://223.110.241.204:6610/gitv/live1/G_ANHUI-CQ/G_ANHUI-CQ/</v>
      </c>
      <c r="D349" t="str">
        <f>LEFT(A349,B349-1)</f>
        <v>安徽卫视</v>
      </c>
    </row>
    <row r="350" spans="1:4" x14ac:dyDescent="0.25">
      <c r="A350" t="s">
        <v>2278</v>
      </c>
      <c r="B350">
        <f>FIND(",",A350)</f>
        <v>5</v>
      </c>
      <c r="C350" t="str">
        <f>MID(A350,B350+1,LEN(A350)-B350)</f>
        <v>http://223.110.241.204:6610/gitv/live1/G_BEIJING-CQ/G_BEIJING-CQ/</v>
      </c>
      <c r="D350" t="str">
        <f>LEFT(A350,B350-1)</f>
        <v>北京卫视</v>
      </c>
    </row>
    <row r="351" spans="1:4" x14ac:dyDescent="0.25">
      <c r="A351" t="s">
        <v>2277</v>
      </c>
      <c r="B351">
        <f>FIND(",",A351)</f>
        <v>5</v>
      </c>
      <c r="C351" t="str">
        <f>MID(A351,B351+1,LEN(A351)-B351)</f>
        <v>http://223.110.241.204:6610/gitv/live1/G_BEIJING-HQ/G_BEIJING-HQ/</v>
      </c>
      <c r="D351" t="str">
        <f>LEFT(A351,B351-1)</f>
        <v>北京卫视</v>
      </c>
    </row>
    <row r="352" spans="1:4" x14ac:dyDescent="0.25">
      <c r="A352" t="s">
        <v>2265</v>
      </c>
      <c r="B352">
        <f>FIND(",",A352)</f>
        <v>7</v>
      </c>
      <c r="C352" t="str">
        <f>MID(A352,B352+1,LEN(A352)-B352)</f>
        <v>http://223.110.241.204:6610/gitv/live1/G_CCTV-10-HQ/G_CCTV-10-HQ/</v>
      </c>
      <c r="D352" t="str">
        <f>LEFT(A352,B352-1)</f>
        <v>CCTV10</v>
      </c>
    </row>
    <row r="353" spans="1:4" x14ac:dyDescent="0.25">
      <c r="A353" t="s">
        <v>2266</v>
      </c>
      <c r="B353">
        <f>FIND(",",A353)</f>
        <v>7</v>
      </c>
      <c r="C353" t="str">
        <f>MID(A353,B353+1,LEN(A353)-B353)</f>
        <v>http://223.110.241.204:6610/gitv/live1/G_CCTV-11-HQ/G_CCTV-11-HQ/</v>
      </c>
      <c r="D353" t="str">
        <f>LEFT(A353,B353-1)</f>
        <v>CCTV11</v>
      </c>
    </row>
    <row r="354" spans="1:4" x14ac:dyDescent="0.25">
      <c r="A354" t="s">
        <v>2267</v>
      </c>
      <c r="B354">
        <f>FIND(",",A354)</f>
        <v>7</v>
      </c>
      <c r="C354" t="str">
        <f>MID(A354,B354+1,LEN(A354)-B354)</f>
        <v>http://223.110.241.204:6610/gitv/live1/G_CCTV-13-HQ/G_CCTV-13-HQ/</v>
      </c>
      <c r="D354" t="str">
        <f>LEFT(A354,B354-1)</f>
        <v>CCTV13</v>
      </c>
    </row>
    <row r="355" spans="1:4" x14ac:dyDescent="0.25">
      <c r="A355" t="s">
        <v>2247</v>
      </c>
      <c r="B355">
        <f>FIND(",",A355)</f>
        <v>6</v>
      </c>
      <c r="C355" t="str">
        <f>MID(A355,B355+1,LEN(A355)-B355)</f>
        <v>http://223.110.241.204:6610/gitv/live1/G_CCTV-1-CQ/G_CCTV-1-CQ/</v>
      </c>
      <c r="D355" t="str">
        <f>LEFT(A355,B355-1)</f>
        <v>CCTV1</v>
      </c>
    </row>
    <row r="356" spans="1:4" x14ac:dyDescent="0.25">
      <c r="A356" t="s">
        <v>2246</v>
      </c>
      <c r="B356">
        <f>FIND(",",A356)</f>
        <v>6</v>
      </c>
      <c r="C356" t="str">
        <f>MID(A356,B356+1,LEN(A356)-B356)</f>
        <v>http://223.110.241.204:6610/gitv/live1/G_CCTV-1-HQ/G_CCTV-1-HQ/</v>
      </c>
      <c r="D356" t="str">
        <f>LEFT(A356,B356-1)</f>
        <v>CCTV1</v>
      </c>
    </row>
    <row r="357" spans="1:4" x14ac:dyDescent="0.25">
      <c r="A357" t="s">
        <v>2248</v>
      </c>
      <c r="B357">
        <f>FIND(",",A357)</f>
        <v>6</v>
      </c>
      <c r="C357" t="str">
        <f>MID(A357,B357+1,LEN(A357)-B357)</f>
        <v>http://223.110.241.204:6610/gitv/live1/G_CCTV-2-CQ/G_CCTV-2-CQ/</v>
      </c>
      <c r="D357" t="str">
        <f>LEFT(A357,B357-1)</f>
        <v>CCTV2</v>
      </c>
    </row>
    <row r="358" spans="1:4" x14ac:dyDescent="0.25">
      <c r="A358" t="s">
        <v>2250</v>
      </c>
      <c r="B358">
        <f>FIND(",",A358)</f>
        <v>6</v>
      </c>
      <c r="C358" t="str">
        <f>MID(A358,B358+1,LEN(A358)-B358)</f>
        <v>http://223.110.241.204:6610/gitv/live1/G_CCTV-3-CQ/G_CCTV-3-CQ/</v>
      </c>
      <c r="D358" t="str">
        <f>LEFT(A358,B358-1)</f>
        <v>CCTV3</v>
      </c>
    </row>
    <row r="359" spans="1:4" x14ac:dyDescent="0.25">
      <c r="A359" t="s">
        <v>2249</v>
      </c>
      <c r="B359">
        <f>FIND(",",A359)</f>
        <v>6</v>
      </c>
      <c r="C359" t="str">
        <f>MID(A359,B359+1,LEN(A359)-B359)</f>
        <v>http://223.110.241.204:6610/gitv/live1/G_CCTV-3-HQ/G_CCTV-3-HQ/</v>
      </c>
      <c r="D359" t="str">
        <f>LEFT(A359,B359-1)</f>
        <v>CCTV3</v>
      </c>
    </row>
    <row r="360" spans="1:4" x14ac:dyDescent="0.25">
      <c r="A360" t="s">
        <v>2253</v>
      </c>
      <c r="B360">
        <f>FIND(",",A360)</f>
        <v>6</v>
      </c>
      <c r="C360" t="str">
        <f>MID(A360,B360+1,LEN(A360)-B360)</f>
        <v>http://223.110.241.204:6610/gitv/live1/G_CCTV-4-CQ/G_CCTV-4-CQ/</v>
      </c>
      <c r="D360" t="str">
        <f>LEFT(A360,B360-1)</f>
        <v>CCTV4</v>
      </c>
    </row>
    <row r="361" spans="1:4" x14ac:dyDescent="0.25">
      <c r="A361" t="s">
        <v>2252</v>
      </c>
      <c r="B361">
        <f>FIND(",",A361)</f>
        <v>6</v>
      </c>
      <c r="C361" t="str">
        <f>MID(A361,B361+1,LEN(A361)-B361)</f>
        <v>http://223.110.241.204:6610/gitv/live1/G_CCTV-4-HQ/G_CCTV-4-HQ/</v>
      </c>
      <c r="D361" t="str">
        <f>LEFT(A361,B361-1)</f>
        <v>CCTV4</v>
      </c>
    </row>
    <row r="362" spans="1:4" x14ac:dyDescent="0.25">
      <c r="A362" t="s">
        <v>2255</v>
      </c>
      <c r="B362">
        <f>FIND(",",A362)</f>
        <v>6</v>
      </c>
      <c r="C362" t="str">
        <f>MID(A362,B362+1,LEN(A362)-B362)</f>
        <v>http://223.110.241.204:6610/gitv/live1/G_CCTV-5-CQ/G_CCTV-5-CQ/</v>
      </c>
      <c r="D362" t="str">
        <f>LEFT(A362,B362-1)</f>
        <v>CCTV5</v>
      </c>
    </row>
    <row r="363" spans="1:4" x14ac:dyDescent="0.25">
      <c r="A363" t="s">
        <v>2254</v>
      </c>
      <c r="B363">
        <f>FIND(",",A363)</f>
        <v>6</v>
      </c>
      <c r="C363" t="str">
        <f>MID(A363,B363+1,LEN(A363)-B363)</f>
        <v>http://223.110.241.204:6610/gitv/live1/G_CCTV-5-HQ/G_CCTV-5-HQ/</v>
      </c>
      <c r="D363" t="str">
        <f>LEFT(A363,B363-1)</f>
        <v>CCTV5</v>
      </c>
    </row>
    <row r="364" spans="1:4" x14ac:dyDescent="0.25">
      <c r="A364" t="s">
        <v>2259</v>
      </c>
      <c r="B364">
        <f>FIND(",",A364)</f>
        <v>7</v>
      </c>
      <c r="C364" t="str">
        <f>MID(A364,B364+1,LEN(A364)-B364)</f>
        <v>http://223.110.241.204:6610/gitv/live1/G_CCTV-5PLUS-CQ/G_CCTV-5PLUS-CQ/</v>
      </c>
      <c r="D364" t="str">
        <f>LEFT(A364,B364-1)</f>
        <v>CCTV5+</v>
      </c>
    </row>
    <row r="365" spans="1:4" x14ac:dyDescent="0.25">
      <c r="A365" t="s">
        <v>2258</v>
      </c>
      <c r="B365">
        <f>FIND(",",A365)</f>
        <v>7</v>
      </c>
      <c r="C365" t="str">
        <f>MID(A365,B365+1,LEN(A365)-B365)</f>
        <v>http://223.110.241.204:6610/gitv/live1/G_CCTV-5PLUS-HQ/G_CCTV-5PLUS-HQ/</v>
      </c>
      <c r="D365" t="str">
        <f>LEFT(A365,B365-1)</f>
        <v>CCTV5+</v>
      </c>
    </row>
    <row r="366" spans="1:4" x14ac:dyDescent="0.25">
      <c r="A366" t="s">
        <v>2260</v>
      </c>
      <c r="B366">
        <f>FIND(",",A366)</f>
        <v>6</v>
      </c>
      <c r="C366" t="str">
        <f>MID(A366,B366+1,LEN(A366)-B366)</f>
        <v>http://223.110.241.204:6610/gitv/live1/G_CCTV-6-CQ/G_CCTV-6-CQ/</v>
      </c>
      <c r="D366" t="str">
        <f>LEFT(A366,B366-1)</f>
        <v>CCTV6</v>
      </c>
    </row>
    <row r="367" spans="1:4" x14ac:dyDescent="0.25">
      <c r="A367" t="s">
        <v>2262</v>
      </c>
      <c r="B367">
        <f>FIND(",",A367)</f>
        <v>6</v>
      </c>
      <c r="C367" t="str">
        <f>MID(A367,B367+1,LEN(A367)-B367)</f>
        <v>http://223.110.241.204:6610/gitv/live1/G_CCTV-8-CQ/G_CCTV-8-CQ/</v>
      </c>
      <c r="D367" t="str">
        <f>LEFT(A367,B367-1)</f>
        <v>CCTV8</v>
      </c>
    </row>
    <row r="368" spans="1:4" x14ac:dyDescent="0.25">
      <c r="A368" t="s">
        <v>2261</v>
      </c>
      <c r="B368">
        <f>FIND(",",A368)</f>
        <v>6</v>
      </c>
      <c r="C368" t="str">
        <f>MID(A368,B368+1,LEN(A368)-B368)</f>
        <v>http://223.110.241.204:6610/gitv/live1/G_CCTV-8-HQ/G_CCTV-8-HQ/</v>
      </c>
      <c r="D368" t="str">
        <f>LEFT(A368,B368-1)</f>
        <v>CCTV8</v>
      </c>
    </row>
    <row r="369" spans="1:4" x14ac:dyDescent="0.25">
      <c r="A369" t="s">
        <v>2309</v>
      </c>
      <c r="B369">
        <f>FIND(",",A369)</f>
        <v>7</v>
      </c>
      <c r="C369" t="str">
        <f>MID(A369,B369+1,LEN(A369)-B369)</f>
        <v>http://223.110.241.204:6610/gitv/live1/G_CETV-1/G_CETV-1/</v>
      </c>
      <c r="D369" t="str">
        <f>LEFT(A369,B369-1)</f>
        <v>CETV-1</v>
      </c>
    </row>
    <row r="370" spans="1:4" x14ac:dyDescent="0.25">
      <c r="A370" t="s">
        <v>2280</v>
      </c>
      <c r="B370">
        <f>FIND(",",A370)</f>
        <v>5</v>
      </c>
      <c r="C370" t="str">
        <f>MID(A370,B370+1,LEN(A370)-B370)</f>
        <v>http://223.110.241.204:6610/gitv/live1/G_DONGFANG-CQ/G_DONGFANG-CQ/</v>
      </c>
      <c r="D370" t="str">
        <f>LEFT(A370,B370-1)</f>
        <v>东方卫视</v>
      </c>
    </row>
    <row r="371" spans="1:4" x14ac:dyDescent="0.25">
      <c r="A371" t="s">
        <v>2279</v>
      </c>
      <c r="B371">
        <f>FIND(",",A371)</f>
        <v>5</v>
      </c>
      <c r="C371" t="str">
        <f>MID(A371,B371+1,LEN(A371)-B371)</f>
        <v>http://223.110.241.204:6610/gitv/live1/G_DONGFANG-HQ/G_DONGFANG-HQ/</v>
      </c>
      <c r="D371" t="str">
        <f>LEFT(A371,B371-1)</f>
        <v>东方卫视</v>
      </c>
    </row>
    <row r="372" spans="1:4" x14ac:dyDescent="0.25">
      <c r="A372" t="s">
        <v>2282</v>
      </c>
      <c r="B372">
        <f>FIND(",",A372)</f>
        <v>5</v>
      </c>
      <c r="C372" t="str">
        <f>MID(A372,B372+1,LEN(A372)-B372)</f>
        <v>http://223.110.241.204:6610/gitv/live1/G_GUANGDONG-CQ/G_GUANGDONG-CQ/</v>
      </c>
      <c r="D372" t="str">
        <f>LEFT(A372,B372-1)</f>
        <v>广东卫视</v>
      </c>
    </row>
    <row r="373" spans="1:4" x14ac:dyDescent="0.25">
      <c r="A373" t="s">
        <v>2281</v>
      </c>
      <c r="B373">
        <f>FIND(",",A373)</f>
        <v>5</v>
      </c>
      <c r="C373" t="str">
        <f>MID(A373,B373+1,LEN(A373)-B373)</f>
        <v>http://223.110.241.204:6610/gitv/live1/G_GUANGDONG-HQ/G_GUANGDONG-HQ/</v>
      </c>
      <c r="D373" t="str">
        <f>LEFT(A373,B373-1)</f>
        <v>广东卫视</v>
      </c>
    </row>
    <row r="374" spans="1:4" x14ac:dyDescent="0.25">
      <c r="A374" t="s">
        <v>2289</v>
      </c>
      <c r="B374">
        <f>FIND(",",A374)</f>
        <v>6</v>
      </c>
      <c r="C374" t="str">
        <f>MID(A374,B374+1,LEN(A374)-B374)</f>
        <v>http://223.110.241.204:6610/gitv/live1/G_HEILONGJIANG-CQ/G_HEILONGJIANG-CQ/</v>
      </c>
      <c r="D374" t="str">
        <f>LEFT(A374,B374-1)</f>
        <v>黑龙江卫视</v>
      </c>
    </row>
    <row r="375" spans="1:4" x14ac:dyDescent="0.25">
      <c r="A375" t="s">
        <v>2288</v>
      </c>
      <c r="B375">
        <f>FIND(",",A375)</f>
        <v>6</v>
      </c>
      <c r="C375" t="str">
        <f>MID(A375,B375+1,LEN(A375)-B375)</f>
        <v>http://223.110.241.204:6610/gitv/live1/G_HEILONGJIANG-HQ/G_HEILONGJIANG-HQ/</v>
      </c>
      <c r="D375" t="str">
        <f>LEFT(A375,B375-1)</f>
        <v>黑龙江卫视</v>
      </c>
    </row>
    <row r="376" spans="1:4" x14ac:dyDescent="0.25">
      <c r="A376" t="s">
        <v>2291</v>
      </c>
      <c r="B376">
        <f>FIND(",",A376)</f>
        <v>5</v>
      </c>
      <c r="C376" t="str">
        <f>MID(A376,B376+1,LEN(A376)-B376)</f>
        <v>http://223.110.241.204:6610/gitv/live1/G_HUBEI-CQ/G_HUBEI-CQ/</v>
      </c>
      <c r="D376" t="str">
        <f>LEFT(A376,B376-1)</f>
        <v>湖北卫视</v>
      </c>
    </row>
    <row r="377" spans="1:4" x14ac:dyDescent="0.25">
      <c r="A377" t="s">
        <v>2290</v>
      </c>
      <c r="B377">
        <f>FIND(",",A377)</f>
        <v>5</v>
      </c>
      <c r="C377" t="str">
        <f>MID(A377,B377+1,LEN(A377)-B377)</f>
        <v>http://223.110.241.204:6610/gitv/live1/G_HUBEI-HQ/G_HUBEI-HQ/</v>
      </c>
      <c r="D377" t="str">
        <f>LEFT(A377,B377-1)</f>
        <v>湖北卫视</v>
      </c>
    </row>
    <row r="378" spans="1:4" x14ac:dyDescent="0.25">
      <c r="A378" t="s">
        <v>2273</v>
      </c>
      <c r="B378">
        <f>FIND(",",A378)</f>
        <v>5</v>
      </c>
      <c r="C378" t="str">
        <f>MID(A378,B378+1,LEN(A378)-B378)</f>
        <v>http://223.110.241.204:6610/gitv/live1/G_HUNAN-CQ/G_HUNAN-CQ/</v>
      </c>
      <c r="D378" t="str">
        <f>LEFT(A378,B378-1)</f>
        <v>湖南卫视</v>
      </c>
    </row>
    <row r="379" spans="1:4" x14ac:dyDescent="0.25">
      <c r="A379" t="s">
        <v>2272</v>
      </c>
      <c r="B379">
        <f>FIND(",",A379)</f>
        <v>5</v>
      </c>
      <c r="C379" t="str">
        <f>MID(A379,B379+1,LEN(A379)-B379)</f>
        <v>http://223.110.241.204:6610/gitv/live1/G_HUNAN-HQ/G_HUNAN-HQ/</v>
      </c>
      <c r="D379" t="str">
        <f>LEFT(A379,B379-1)</f>
        <v>湖南卫视</v>
      </c>
    </row>
    <row r="380" spans="1:4" x14ac:dyDescent="0.25">
      <c r="A380" t="s">
        <v>2271</v>
      </c>
      <c r="B380">
        <f>FIND(",",A380)</f>
        <v>5</v>
      </c>
      <c r="C380" t="str">
        <f>MID(A380,B380+1,LEN(A380)-B380)</f>
        <v>http://223.110.241.204:6610/gitv/live1/G_JIANGSU-CQ/G_JIANGSU-CQ/</v>
      </c>
      <c r="D380" t="str">
        <f>LEFT(A380,B380-1)</f>
        <v>江苏卫视</v>
      </c>
    </row>
    <row r="381" spans="1:4" x14ac:dyDescent="0.25">
      <c r="A381" t="s">
        <v>2270</v>
      </c>
      <c r="B381">
        <f>FIND(",",A381)</f>
        <v>5</v>
      </c>
      <c r="C381" t="str">
        <f>MID(A381,B381+1,LEN(A381)-B381)</f>
        <v>http://223.110.241.204:6610/gitv/live1/G_JIANGSU-HQ/G_JIANGSU-HQ/</v>
      </c>
      <c r="D381" t="str">
        <f>LEFT(A381,B381-1)</f>
        <v>江苏卫视</v>
      </c>
    </row>
    <row r="382" spans="1:4" x14ac:dyDescent="0.25">
      <c r="A382" t="s">
        <v>2294</v>
      </c>
      <c r="B382">
        <f>FIND(",",A382)</f>
        <v>5</v>
      </c>
      <c r="C382" t="str">
        <f>MID(A382,B382+1,LEN(A382)-B382)</f>
        <v>http://223.110.241.204:6610/gitv/live1/G_LIAONING-CQ/G_LIAONING-CQ/</v>
      </c>
      <c r="D382" t="str">
        <f>LEFT(A382,B382-1)</f>
        <v>辽宁卫视</v>
      </c>
    </row>
    <row r="383" spans="1:4" x14ac:dyDescent="0.25">
      <c r="A383" t="s">
        <v>2293</v>
      </c>
      <c r="B383">
        <f>FIND(",",A383)</f>
        <v>5</v>
      </c>
      <c r="C383" t="str">
        <f>MID(A383,B383+1,LEN(A383)-B383)</f>
        <v>http://223.110.241.204:6610/gitv/live1/G_LIAONING-HQ/G_LIAONING-HQ/</v>
      </c>
      <c r="D383" t="str">
        <f>LEFT(A383,B383-1)</f>
        <v>辽宁卫视</v>
      </c>
    </row>
    <row r="384" spans="1:4" x14ac:dyDescent="0.25">
      <c r="A384" t="s">
        <v>2295</v>
      </c>
      <c r="B384">
        <f>FIND(",",A384)</f>
        <v>6</v>
      </c>
      <c r="C384" t="str">
        <f>MID(A384,B384+1,LEN(A384)-B384)</f>
        <v>http://223.110.241.204:6610/gitv/live1/G_NEIMENGGU/G_NEIMENGGU/</v>
      </c>
      <c r="D384" t="str">
        <f>LEFT(A384,B384-1)</f>
        <v>内蒙古卫视</v>
      </c>
    </row>
    <row r="385" spans="1:4" x14ac:dyDescent="0.25">
      <c r="A385" t="s">
        <v>2296</v>
      </c>
      <c r="B385">
        <f>FIND(",",A385)</f>
        <v>5</v>
      </c>
      <c r="C385" t="str">
        <f>MID(A385,B385+1,LEN(A385)-B385)</f>
        <v>http://223.110.241.204:6610/gitv/live1/G_NINGXIA/G_NINGXIA/</v>
      </c>
      <c r="D385" t="str">
        <f>LEFT(A385,B385-1)</f>
        <v>宁夏卫视</v>
      </c>
    </row>
    <row r="386" spans="1:4" x14ac:dyDescent="0.25">
      <c r="A386" t="s">
        <v>2297</v>
      </c>
      <c r="B386">
        <f>FIND(",",A386)</f>
        <v>5</v>
      </c>
      <c r="C386" t="str">
        <f>MID(A386,B386+1,LEN(A386)-B386)</f>
        <v>http://223.110.241.204:6610/gitv/live1/G_QINGHAI/G_QINGHAI/</v>
      </c>
      <c r="D386" t="str">
        <f>LEFT(A386,B386-1)</f>
        <v>青海卫视</v>
      </c>
    </row>
    <row r="387" spans="1:4" x14ac:dyDescent="0.25">
      <c r="A387" t="s">
        <v>2300</v>
      </c>
      <c r="B387">
        <f>FIND(",",A387)</f>
        <v>5</v>
      </c>
      <c r="C387" t="str">
        <f>MID(A387,B387+1,LEN(A387)-B387)</f>
        <v>http://223.110.241.204:6610/gitv/live1/G_SHANDONG-CQ/G_SHANDONG-CQ/</v>
      </c>
      <c r="D387" t="str">
        <f>LEFT(A387,B387-1)</f>
        <v>山东卫视</v>
      </c>
    </row>
    <row r="388" spans="1:4" x14ac:dyDescent="0.25">
      <c r="A388" t="s">
        <v>2299</v>
      </c>
      <c r="B388">
        <f>FIND(",",A388)</f>
        <v>5</v>
      </c>
      <c r="C388" t="str">
        <f>MID(A388,B388+1,LEN(A388)-B388)</f>
        <v>http://223.110.241.204:6610/gitv/live1/G_SHANDONG-HQ/G_SHANDONG-HQ/</v>
      </c>
      <c r="D388" t="str">
        <f>LEFT(A388,B388-1)</f>
        <v>山东卫视</v>
      </c>
    </row>
    <row r="389" spans="1:4" x14ac:dyDescent="0.25">
      <c r="A389" t="s">
        <v>2302</v>
      </c>
      <c r="B389">
        <f>FIND(",",A389)</f>
        <v>5</v>
      </c>
      <c r="C389" t="str">
        <f>MID(A389,B389+1,LEN(A389)-B389)</f>
        <v>http://223.110.241.204:6610/gitv/live1/G_SHANXI/G_SHANXI/</v>
      </c>
      <c r="D389" t="str">
        <f>LEFT(A389,B389-1)</f>
        <v>陕西卫视</v>
      </c>
    </row>
    <row r="390" spans="1:4" x14ac:dyDescent="0.25">
      <c r="A390" t="s">
        <v>2304</v>
      </c>
      <c r="B390">
        <f>FIND(",",A390)</f>
        <v>5</v>
      </c>
      <c r="C390" t="str">
        <f>MID(A390,B390+1,LEN(A390)-B390)</f>
        <v>http://223.110.241.204:6610/gitv/live1/G_SHENZHEN-CQ/G_SHENZHEN-CQ/</v>
      </c>
      <c r="D390" t="str">
        <f>LEFT(A390,B390-1)</f>
        <v>深圳卫视</v>
      </c>
    </row>
    <row r="391" spans="1:4" x14ac:dyDescent="0.25">
      <c r="A391" t="s">
        <v>2303</v>
      </c>
      <c r="B391">
        <f>FIND(",",A391)</f>
        <v>5</v>
      </c>
      <c r="C391" t="str">
        <f>MID(A391,B391+1,LEN(A391)-B391)</f>
        <v>http://223.110.241.204:6610/gitv/live1/G_SHENZHEN-HQ/G_SHENZHEN-HQ/</v>
      </c>
      <c r="D391" t="str">
        <f>LEFT(A391,B391-1)</f>
        <v>深圳卫视</v>
      </c>
    </row>
    <row r="392" spans="1:4" x14ac:dyDescent="0.25">
      <c r="A392" t="s">
        <v>2307</v>
      </c>
      <c r="B392">
        <f>FIND(",",A392)</f>
        <v>5</v>
      </c>
      <c r="C392" t="str">
        <f>MID(A392,B392+1,LEN(A392)-B392)</f>
        <v>http://223.110.241.204:6610/gitv/live1/G_TIANJIN-CQ/G_TIANJIN-CQ/</v>
      </c>
      <c r="D392" t="str">
        <f>LEFT(A392,B392-1)</f>
        <v>天津卫视</v>
      </c>
    </row>
    <row r="393" spans="1:4" x14ac:dyDescent="0.25">
      <c r="A393" t="s">
        <v>2306</v>
      </c>
      <c r="B393">
        <f>FIND(",",A393)</f>
        <v>5</v>
      </c>
      <c r="C393" t="str">
        <f>MID(A393,B393+1,LEN(A393)-B393)</f>
        <v>http://223.110.241.204:6610/gitv/live1/G_TIANJIN-HQ/G_TIANJIN-HQ/</v>
      </c>
      <c r="D393" t="str">
        <f>LEFT(A393,B393-1)</f>
        <v>天津卫视</v>
      </c>
    </row>
    <row r="394" spans="1:4" x14ac:dyDescent="0.25">
      <c r="A394" t="s">
        <v>2298</v>
      </c>
      <c r="B394">
        <f>FIND(",",A394)</f>
        <v>5</v>
      </c>
      <c r="C394" t="str">
        <f>MID(A394,B394+1,LEN(A394)-B394)</f>
        <v>http://223.110.241.204:6610/gitv/live1/G_XIAMEN/G_XIAMEN/</v>
      </c>
      <c r="D394" t="str">
        <f>LEFT(A394,B394-1)</f>
        <v>厦门卫视</v>
      </c>
    </row>
    <row r="395" spans="1:4" x14ac:dyDescent="0.25">
      <c r="A395" t="s">
        <v>2308</v>
      </c>
      <c r="B395">
        <f>FIND(",",A395)</f>
        <v>5</v>
      </c>
      <c r="C395" t="str">
        <f>MID(A395,B395+1,LEN(A395)-B395)</f>
        <v>http://223.110.241.204:6610/gitv/live1/G_XINJIANG/G_XINJIANG/</v>
      </c>
      <c r="D395" t="str">
        <f>LEFT(A395,B395-1)</f>
        <v>新疆卫视</v>
      </c>
    </row>
    <row r="396" spans="1:4" x14ac:dyDescent="0.25">
      <c r="A396" t="s">
        <v>2275</v>
      </c>
      <c r="B396">
        <f>FIND(",",A396)</f>
        <v>5</v>
      </c>
      <c r="C396" t="str">
        <f>MID(A396,B396+1,LEN(A396)-B396)</f>
        <v>http://223.110.241.204:6610/gitv/live1/G_ZHEJIANG-CQ/G_ZHEJIANG-CQ/</v>
      </c>
      <c r="D396" t="str">
        <f>LEFT(A396,B396-1)</f>
        <v>浙江卫视</v>
      </c>
    </row>
    <row r="397" spans="1:4" x14ac:dyDescent="0.25">
      <c r="A397" t="s">
        <v>2274</v>
      </c>
      <c r="B397">
        <f>FIND(",",A397)</f>
        <v>5</v>
      </c>
      <c r="C397" t="str">
        <f>MID(A397,B397+1,LEN(A397)-B397)</f>
        <v>http://223.110.241.204:6610/gitv/live1/G_ZHEJIANG-HQ/G_ZHEJIANG-HQ/</v>
      </c>
      <c r="D397" t="str">
        <f>LEFT(A397,B397-1)</f>
        <v>浙江卫视</v>
      </c>
    </row>
    <row r="398" spans="1:4" x14ac:dyDescent="0.25">
      <c r="A398" t="s">
        <v>2284</v>
      </c>
      <c r="B398">
        <f>FIND(",",A398)</f>
        <v>5</v>
      </c>
      <c r="C398" t="str">
        <f>MID(A398,B398+1,LEN(A398)-B398)</f>
        <v>http://223.110.241.204:6610/gitv/live1/GXWS/GXWS/</v>
      </c>
      <c r="D398" t="str">
        <f>LEFT(A398,B398-1)</f>
        <v>广西卫视</v>
      </c>
    </row>
    <row r="399" spans="1:4" x14ac:dyDescent="0.25">
      <c r="A399" t="s">
        <v>2301</v>
      </c>
      <c r="B399">
        <f>FIND(",",A399)</f>
        <v>5</v>
      </c>
      <c r="C399" t="str">
        <f>MID(A399,B399+1,LEN(A399)-B399)</f>
        <v>http://223.110.241.204:6610/gitv/live1/SXWS/SXWS/</v>
      </c>
      <c r="D399" t="str">
        <f>LEFT(A399,B399-1)</f>
        <v>山西卫视</v>
      </c>
    </row>
    <row r="400" spans="1:4" x14ac:dyDescent="0.25">
      <c r="A400" t="s">
        <v>2391</v>
      </c>
      <c r="B400">
        <f>FIND(",",A400)</f>
        <v>6</v>
      </c>
      <c r="C400" t="str">
        <f>MID(A400,B400+1,LEN(A400)-B400)</f>
        <v>http://223.110.242.207:6610/jsyd/live1/G_CCTV-6-MD/G_CCTV-6-MD/1.m3u8</v>
      </c>
      <c r="D400" t="str">
        <f>LEFT(A400,B400-1)</f>
        <v>CCTV6</v>
      </c>
    </row>
    <row r="401" spans="1:4" x14ac:dyDescent="0.25">
      <c r="A401" t="s">
        <v>2363</v>
      </c>
      <c r="B401">
        <f>FIND(",",A401)</f>
        <v>6</v>
      </c>
      <c r="C401" t="str">
        <f>MID(A401,B401+1,LEN(A401)-B401)</f>
        <v>http://223.110.242.217:6610/cntv/live1/H265-12000k-1080P-cctv7/H265-12000k-1080P-cctv7/1.m3u8</v>
      </c>
      <c r="D401" t="str">
        <f>LEFT(A401,B401-1)</f>
        <v>CCTV7</v>
      </c>
    </row>
    <row r="402" spans="1:4" x14ac:dyDescent="0.25">
      <c r="A402" t="s">
        <v>2336</v>
      </c>
      <c r="B402">
        <f>FIND(",",A402)</f>
        <v>5</v>
      </c>
      <c r="C402" t="str">
        <f>MID(A402,B402+1,LEN(A402)-B402)</f>
        <v>http://223.110.254.137:6610/cntv/live1/HD-8000k-1080P-guangxistv/HD-8000k-1080P-guangxistv</v>
      </c>
      <c r="D402" t="str">
        <f>LEFT(A402,B402-1)</f>
        <v>广西卫视</v>
      </c>
    </row>
    <row r="403" spans="1:4" x14ac:dyDescent="0.25">
      <c r="A403" t="s">
        <v>2335</v>
      </c>
      <c r="B403">
        <f>FIND(",",A403)</f>
        <v>5</v>
      </c>
      <c r="C403" t="str">
        <f>MID(A403,B403+1,LEN(A403)-B403)</f>
        <v>http://223.110.254.137:6610/cntv/live1/HD-8000k-1080P-lvyoustv/HD-8000k-1080P-lvyoustv</v>
      </c>
      <c r="D403" t="str">
        <f>LEFT(A403,B403-1)</f>
        <v>海南卫视</v>
      </c>
    </row>
    <row r="404" spans="1:4" x14ac:dyDescent="0.25">
      <c r="A404" t="s">
        <v>2330</v>
      </c>
      <c r="B404">
        <f>FIND(",",A404)</f>
        <v>5</v>
      </c>
      <c r="C404" t="str">
        <f>MID(A404,B404+1,LEN(A404)-B404)</f>
        <v>http://223.110.254.203:6610/cntv/live1/HD-8000k-1080P-anhuistv/HD-8000k-1080P-anhuistv/</v>
      </c>
      <c r="D404" t="str">
        <f>LEFT(A404,B404-1)</f>
        <v>安徽卫视</v>
      </c>
    </row>
    <row r="405" spans="1:4" x14ac:dyDescent="0.25">
      <c r="A405" t="s">
        <v>2334</v>
      </c>
      <c r="B405">
        <f>FIND(",",A405)</f>
        <v>5</v>
      </c>
      <c r="C405" t="str">
        <f>MID(A405,B405+1,LEN(A405)-B405)</f>
        <v>http://223.110.254.203:6610/cntv/live1/HD-8000k-1080P-chongqingstv/HD-8000k-1080P-chongqingstv</v>
      </c>
      <c r="D405" t="str">
        <f>LEFT(A405,B405-1)</f>
        <v>重庆卫视</v>
      </c>
    </row>
    <row r="406" spans="1:4" x14ac:dyDescent="0.25">
      <c r="A406" t="s">
        <v>2371</v>
      </c>
      <c r="B406">
        <f>FIND(",",A406)</f>
        <v>5</v>
      </c>
      <c r="C406" t="str">
        <f>MID(A406,B406+1,LEN(A406)-B406)</f>
        <v>http://223.110.255.131:6610/cntv/live1/H265-5500k-1080P-dongnanstv/H265-5500k-1080P-dongnanstv/1.m3u8</v>
      </c>
      <c r="D406" t="str">
        <f>LEFT(A406,B406-1)</f>
        <v>东南卫视</v>
      </c>
    </row>
    <row r="407" spans="1:4" x14ac:dyDescent="0.25">
      <c r="A407" t="s">
        <v>2402</v>
      </c>
      <c r="B407">
        <f>FIND(",",A407)</f>
        <v>5</v>
      </c>
      <c r="C407" t="str">
        <f>MID(A407,B407+1,LEN(A407)-B407)</f>
        <v>http://223.110.255.131:6610/jsyd/live1/G_SHANDONG-MD/G_SHANDONG-MD/1.m3u8</v>
      </c>
      <c r="D407" t="str">
        <f>LEFT(A407,B407-1)</f>
        <v>山东卫视</v>
      </c>
    </row>
    <row r="408" spans="1:4" x14ac:dyDescent="0.25">
      <c r="A408" t="s">
        <v>2269</v>
      </c>
      <c r="B408">
        <f>FIND(",",A408)</f>
        <v>9</v>
      </c>
      <c r="C408" t="str">
        <f>MID(A408,B408+1,LEN(A408)-B408)</f>
        <v>http://223.110.255.139:6610/gitv/live1/G_DIYIJC-CQ/G_DIYIJC-CQ/1.m3u8</v>
      </c>
      <c r="D408" t="str">
        <f>LEFT(A408,B408-1)</f>
        <v>CCTV第一剧场</v>
      </c>
    </row>
    <row r="409" spans="1:4" x14ac:dyDescent="0.25">
      <c r="A409" t="s">
        <v>2268</v>
      </c>
      <c r="B409">
        <f>FIND(",",A409)</f>
        <v>7</v>
      </c>
      <c r="C409" t="str">
        <f>MID(A409,B409+1,LEN(A409)-B409)</f>
        <v>http://223.110.255.142:6610/gitv/live1/G_CCTV-13-HQ/G_CCTV-13-HQ/1.m3u8</v>
      </c>
      <c r="D409" t="str">
        <f>LEFT(A409,B409-1)</f>
        <v>CCTV13</v>
      </c>
    </row>
    <row r="410" spans="1:4" x14ac:dyDescent="0.25">
      <c r="A410" t="s">
        <v>2372</v>
      </c>
      <c r="B410">
        <f>FIND(",",A410)</f>
        <v>5</v>
      </c>
      <c r="C410" t="str">
        <f>MID(A410,B410+1,LEN(A410)-B410)</f>
        <v>http://223.110.255.143:6610/cntv/live1/n-gansustv/n-gansustv/1.m3u8</v>
      </c>
      <c r="D410" t="str">
        <f>LEFT(A410,B410-1)</f>
        <v>甘肃卫视</v>
      </c>
    </row>
    <row r="411" spans="1:4" x14ac:dyDescent="0.25">
      <c r="A411" t="s">
        <v>2394</v>
      </c>
      <c r="B411">
        <f>FIND(",",A411)</f>
        <v>5</v>
      </c>
      <c r="C411" t="str">
        <f>MID(A411,B411+1,LEN(A411)-B411)</f>
        <v>http://223.110.255.143:6610/jsyd/live1/G_ZHEJIANG-MD/G_ZHEJIANG-MD/1.m3u8</v>
      </c>
      <c r="D411" t="str">
        <f>LEFT(A411,B411-1)</f>
        <v>浙江卫视</v>
      </c>
    </row>
    <row r="412" spans="1:4" x14ac:dyDescent="0.25">
      <c r="A412" t="s">
        <v>2388</v>
      </c>
      <c r="B412">
        <f>FIND(",",A412)</f>
        <v>6</v>
      </c>
      <c r="C412" t="str">
        <f>MID(A412,B412+1,LEN(A412)-B412)</f>
        <v>http://223.110.255.146:6610/jsyd/live1/G_CCTV-4-MD/G_CCTV-4-MD/1.m3u8</v>
      </c>
      <c r="D412" t="str">
        <f>LEFT(A412,B412-1)</f>
        <v>CCTV4</v>
      </c>
    </row>
    <row r="413" spans="1:4" x14ac:dyDescent="0.25">
      <c r="A413" t="s">
        <v>2404</v>
      </c>
      <c r="B413">
        <f>FIND(",",A413)</f>
        <v>5</v>
      </c>
      <c r="C413" t="str">
        <f>MID(A413,B413+1,LEN(A413)-B413)</f>
        <v>http://223.110.255.146:6610/jsyd/live1/G_TIANJIN-MD/G_TIANJIN-MD/1.m3u8</v>
      </c>
      <c r="D413" t="str">
        <f>LEFT(A413,B413-1)</f>
        <v>天津卫视</v>
      </c>
    </row>
    <row r="414" spans="1:4" x14ac:dyDescent="0.25">
      <c r="A414" t="s">
        <v>2399</v>
      </c>
      <c r="B414">
        <f>FIND(",",A414)</f>
        <v>6</v>
      </c>
      <c r="C414" t="str">
        <f>MID(A414,B414+1,LEN(A414)-B414)</f>
        <v>http://223.110.255.152:6610/jsyd/live1/G_HEILONGJIANG-MD/G_HEILONGJIANG-MD/1.m3u8</v>
      </c>
      <c r="D414" t="str">
        <f>LEFT(A414,B414-1)</f>
        <v>黑龙江卫视</v>
      </c>
    </row>
    <row r="415" spans="1:4" x14ac:dyDescent="0.25">
      <c r="A415" t="s">
        <v>2264</v>
      </c>
      <c r="B415">
        <f>FIND(",",A415)</f>
        <v>6</v>
      </c>
      <c r="C415" t="str">
        <f>MID(A415,B415+1,LEN(A415)-B415)</f>
        <v>http://223.110.255.155:6610/gitv/live1/G_CCTV-9-HD-265-5M/G_CCTV-9-HD-265-5M/1.m3u8</v>
      </c>
      <c r="D415" t="str">
        <f>LEFT(A415,B415-1)</f>
        <v>CCTV9</v>
      </c>
    </row>
    <row r="416" spans="1:4" x14ac:dyDescent="0.25">
      <c r="A416" t="s">
        <v>2395</v>
      </c>
      <c r="B416">
        <f>FIND(",",A416)</f>
        <v>5</v>
      </c>
      <c r="C416" t="str">
        <f>MID(A416,B416+1,LEN(A416)-B416)</f>
        <v>http://223.110.255.155:6610/jsyd/live1/G_ANHUI-MD/G_ANHUI-MD/1.m3u8</v>
      </c>
      <c r="D416" t="str">
        <f>LEFT(A416,B416-1)</f>
        <v>安徽卫视</v>
      </c>
    </row>
    <row r="417" spans="1:4" x14ac:dyDescent="0.25">
      <c r="A417" t="s">
        <v>2403</v>
      </c>
      <c r="B417">
        <f>FIND(",",A417)</f>
        <v>5</v>
      </c>
      <c r="C417" t="str">
        <f>MID(A417,B417+1,LEN(A417)-B417)</f>
        <v>http://223.110.255.156:6610/jsyd/live1/G_SHENZHEN-MD/G_SHENZHEN-MD/1.m3u8</v>
      </c>
      <c r="D417" t="str">
        <f>LEFT(A417,B417-1)</f>
        <v>深圳卫视</v>
      </c>
    </row>
    <row r="418" spans="1:4" x14ac:dyDescent="0.25">
      <c r="A418" t="s">
        <v>2251</v>
      </c>
      <c r="B418">
        <f>FIND(",",A418)</f>
        <v>9</v>
      </c>
      <c r="C418" t="str">
        <f>MID(A418,B418+1,LEN(A418)-B418)</f>
        <v>http://223.110.255.157:6610/gitv/live1/G_CCTV-3-AVS-4K264/G_CCTV-3-AVS-4K264/1.m3u8</v>
      </c>
      <c r="D418" t="str">
        <f>LEFT(A418,B418-1)</f>
        <v>CCTV3-4K</v>
      </c>
    </row>
    <row r="419" spans="1:4" x14ac:dyDescent="0.25">
      <c r="A419" t="s">
        <v>2392</v>
      </c>
      <c r="B419">
        <f>FIND(",",A419)</f>
        <v>5</v>
      </c>
      <c r="C419" t="str">
        <f>MID(A419,B419+1,LEN(A419)-B419)</f>
        <v>http://223.110.255.157:6610/jsyd/live1/G_JIANGSU-MD/G_JIANGSU-MD/1.m3u8</v>
      </c>
      <c r="D419" t="str">
        <f>LEFT(A419,B419-1)</f>
        <v>江苏卫视</v>
      </c>
    </row>
    <row r="420" spans="1:4" x14ac:dyDescent="0.25">
      <c r="A420" t="s">
        <v>2400</v>
      </c>
      <c r="B420">
        <f>FIND(",",A420)</f>
        <v>5</v>
      </c>
      <c r="C420" t="str">
        <f>MID(A420,B420+1,LEN(A420)-B420)</f>
        <v>http://223.110.255.160:6610/jsyd/live1/G_HUBEI-MD/G_HUBEI-MD/1.m3u8</v>
      </c>
      <c r="D420" t="str">
        <f>LEFT(A420,B420-1)</f>
        <v>湖北卫视</v>
      </c>
    </row>
    <row r="421" spans="1:4" x14ac:dyDescent="0.25">
      <c r="A421" t="s">
        <v>2286</v>
      </c>
      <c r="B421">
        <f>FIND(",",A421)</f>
        <v>5</v>
      </c>
      <c r="C421" t="str">
        <f>MID(A421,B421+1,LEN(A421)-B421)</f>
        <v>http://223.110.255.194:6610/gitv/live1/G_HEBEI-CQ/G_HEBEI-CQ/1.m3u8</v>
      </c>
      <c r="D421" t="str">
        <f>LEFT(A421,B421-1)</f>
        <v>河北卫视</v>
      </c>
    </row>
    <row r="422" spans="1:4" x14ac:dyDescent="0.25">
      <c r="A422" t="s">
        <v>2390</v>
      </c>
      <c r="B422">
        <f>FIND(",",A422)</f>
        <v>6</v>
      </c>
      <c r="C422" t="str">
        <f>MID(A422,B422+1,LEN(A422)-B422)</f>
        <v>http://223.110.255.198:6610/jsyd/live1/G_CCTV-6-MD/G_CCTV-6-MD/1.m3u8</v>
      </c>
      <c r="D422" t="str">
        <f>LEFT(A422,B422-1)</f>
        <v>CCTV6</v>
      </c>
    </row>
    <row r="423" spans="1:4" x14ac:dyDescent="0.25">
      <c r="A423" t="s">
        <v>2377</v>
      </c>
      <c r="B423">
        <f>FIND(",",A423)</f>
        <v>5</v>
      </c>
      <c r="C423" t="str">
        <f>MID(A423,B423+1,LEN(A423)-B423)</f>
        <v>http://223.110.255.199:6610/cntv/live1/n-yntv1/n-yntv1/1.m3u8</v>
      </c>
      <c r="D423" t="str">
        <f>LEFT(A423,B423-1)</f>
        <v>云南卫视</v>
      </c>
    </row>
    <row r="424" spans="1:4" x14ac:dyDescent="0.25">
      <c r="A424" t="s">
        <v>2397</v>
      </c>
      <c r="B424">
        <f>FIND(",",A424)</f>
        <v>5</v>
      </c>
      <c r="C424" t="str">
        <f>MID(A424,B424+1,LEN(A424)-B424)</f>
        <v>http://223.110.255.199:6610/jsyd/live1/G_DONGFANG-MD/G_DONGFANG-MD/1.m3u8</v>
      </c>
      <c r="D424" t="str">
        <f>LEFT(A424,B424-1)</f>
        <v>东方卫视</v>
      </c>
    </row>
    <row r="425" spans="1:4" x14ac:dyDescent="0.25">
      <c r="A425" t="s">
        <v>2292</v>
      </c>
      <c r="B425">
        <f>FIND(",",A425)</f>
        <v>5</v>
      </c>
      <c r="C425" t="str">
        <f>MID(A425,B425+1,LEN(A425)-B425)</f>
        <v>http://223.110.255.202:6610/gitv/live1/G_JILIN-CQ/G_JILIN-CQ/1.m3u8</v>
      </c>
      <c r="D425" t="str">
        <f>LEFT(A425,B425-1)</f>
        <v>吉林卫视</v>
      </c>
    </row>
    <row r="426" spans="1:4" x14ac:dyDescent="0.25">
      <c r="A426" t="s">
        <v>2393</v>
      </c>
      <c r="B426">
        <f>FIND(",",A426)</f>
        <v>5</v>
      </c>
      <c r="C426" t="str">
        <f>MID(A426,B426+1,LEN(A426)-B426)</f>
        <v>http://223.110.255.203:6610/jsyd/live1/G_HUNAN-MD/G_HUNAN-MD/1.m3u8</v>
      </c>
      <c r="D426" t="str">
        <f>LEFT(A426,B426-1)</f>
        <v>湖南卫视</v>
      </c>
    </row>
    <row r="427" spans="1:4" x14ac:dyDescent="0.25">
      <c r="A427" t="s">
        <v>2378</v>
      </c>
      <c r="B427">
        <f>FIND(",",A427)</f>
        <v>5</v>
      </c>
      <c r="C427" t="str">
        <f>MID(A427,B427+1,LEN(A427)-B427)</f>
        <v>http://223.110.255.204:6610/cntv/live1/H265-5500k-1080P-chongqingstv/H265-5500k-1080P-chongqingstv/1.m3u8</v>
      </c>
      <c r="D427" t="str">
        <f>LEFT(A427,B427-1)</f>
        <v>重庆卫视</v>
      </c>
    </row>
    <row r="428" spans="1:4" x14ac:dyDescent="0.25">
      <c r="A428" t="s">
        <v>2287</v>
      </c>
      <c r="B428">
        <f>FIND(",",A428)</f>
        <v>5</v>
      </c>
      <c r="C428" t="str">
        <f>MID(A428,B428+1,LEN(A428)-B428)</f>
        <v>http://223.110.255.204:6610/gitv/live1/G_HENAN-CQ/G_HENAN-CQ/1.m3u8</v>
      </c>
      <c r="D428" t="str">
        <f>LEFT(A428,B428-1)</f>
        <v>河南卫视</v>
      </c>
    </row>
    <row r="429" spans="1:4" x14ac:dyDescent="0.25">
      <c r="A429" t="s">
        <v>2398</v>
      </c>
      <c r="B429">
        <f>FIND(",",A429)</f>
        <v>5</v>
      </c>
      <c r="C429" t="str">
        <f>MID(A429,B429+1,LEN(A429)-B429)</f>
        <v>http://223.110.255.204:6610/jsyd/live1/G_GUANGDONG-MD/G_GUANGDONG-MD/1.m3u8</v>
      </c>
      <c r="D429" t="str">
        <f>LEFT(A429,B429-1)</f>
        <v>广东卫视</v>
      </c>
    </row>
    <row r="430" spans="1:4" x14ac:dyDescent="0.25">
      <c r="A430" t="s">
        <v>2389</v>
      </c>
      <c r="B430">
        <f>FIND(",",A430)</f>
        <v>7</v>
      </c>
      <c r="C430" t="str">
        <f>MID(A430,B430+1,LEN(A430)-B430)</f>
        <v>http://223.110.255.205:6610/jsyd/live1/G_CCTV-5PLUS-MD/G_CCTV-5PLUS-MD/1.m3u8</v>
      </c>
      <c r="D430" t="str">
        <f>LEFT(A430,B430-1)</f>
        <v>CCTV5+</v>
      </c>
    </row>
    <row r="431" spans="1:4" x14ac:dyDescent="0.25">
      <c r="A431" t="s">
        <v>2373</v>
      </c>
      <c r="B431">
        <f>FIND(",",A431)</f>
        <v>5</v>
      </c>
      <c r="C431" t="str">
        <f>MID(A431,B431+1,LEN(A431)-B431)</f>
        <v>http://223.110.255.206:6610/cntv/live1/SD-4000k-576P-lvyoustv/SD-4000k-576P-lvyoustv/1.m3u8</v>
      </c>
      <c r="D431" t="str">
        <f>LEFT(A431,B431-1)</f>
        <v>海南卫视</v>
      </c>
    </row>
    <row r="432" spans="1:4" x14ac:dyDescent="0.25">
      <c r="A432" t="s">
        <v>2257</v>
      </c>
      <c r="B432">
        <f>FIND(",",A432)</f>
        <v>9</v>
      </c>
      <c r="C432" t="str">
        <f>MID(A432,B432+1,LEN(A432)-B432)</f>
        <v>http://223.110.255.206:6610/gitv/live1/G_CCTV-5-AVS-4K264/G_CCTV-5-AVS-4K264/1.m3u8</v>
      </c>
      <c r="D432" t="str">
        <f>LEFT(A432,B432-1)</f>
        <v>CCTV5-4K</v>
      </c>
    </row>
    <row r="433" spans="1:4" x14ac:dyDescent="0.25">
      <c r="A433" t="s">
        <v>2401</v>
      </c>
      <c r="B433">
        <f>FIND(",",A433)</f>
        <v>5</v>
      </c>
      <c r="C433" t="str">
        <f>MID(A433,B433+1,LEN(A433)-B433)</f>
        <v>http://223.110.255.206:6610/jsyd/live1/G_LIAONING-MD/G_LIAONING-MD/1.m3u8</v>
      </c>
      <c r="D433" t="str">
        <f>LEFT(A433,B433-1)</f>
        <v>辽宁卫视</v>
      </c>
    </row>
    <row r="434" spans="1:4" x14ac:dyDescent="0.25">
      <c r="A434" t="s">
        <v>2263</v>
      </c>
      <c r="B434">
        <f>FIND(",",A434)</f>
        <v>6</v>
      </c>
      <c r="C434" t="str">
        <f>MID(A434,B434+1,LEN(A434)-B434)</f>
        <v>http://223.110.255.207:6610/gitv/live1/G_CCTV-8-AVS-4K264/G_CCTV-8-AVS-4K264/1.m3u8</v>
      </c>
      <c r="D434" t="str">
        <f>LEFT(A434,B434-1)</f>
        <v>CCTV8</v>
      </c>
    </row>
    <row r="435" spans="1:4" x14ac:dyDescent="0.25">
      <c r="A435" t="s">
        <v>2285</v>
      </c>
      <c r="B435">
        <f>FIND(",",A435)</f>
        <v>5</v>
      </c>
      <c r="C435" t="str">
        <f>MID(A435,B435+1,LEN(A435)-B435)</f>
        <v>http://223.110.255.207:6610/gitv/live1/G_GUIZHOU-CQ/G_GUIZHOU-CQ/1.m3u8</v>
      </c>
      <c r="D435" t="str">
        <f>LEFT(A435,B435-1)</f>
        <v>贵州卫视</v>
      </c>
    </row>
    <row r="436" spans="1:4" x14ac:dyDescent="0.25">
      <c r="A436" t="s">
        <v>2375</v>
      </c>
      <c r="B436">
        <f>FIND(",",A436)</f>
        <v>5</v>
      </c>
      <c r="C436" t="str">
        <f>MID(A436,B436+1,LEN(A436)-B436)</f>
        <v>http://223.110.255.208:6610/cntv/live1/H265-5500k-1080P-jiangxistv/H265-5500k-1080P-jiangxistv/1.m3u8</v>
      </c>
      <c r="D436" t="str">
        <f>LEFT(A436,B436-1)</f>
        <v>江西卫视</v>
      </c>
    </row>
    <row r="437" spans="1:4" x14ac:dyDescent="0.25">
      <c r="A437" t="s">
        <v>2305</v>
      </c>
      <c r="B437">
        <f>FIND(",",A437)</f>
        <v>5</v>
      </c>
      <c r="C437" t="str">
        <f>MID(A437,B437+1,LEN(A437)-B437)</f>
        <v>http://223.110.255.208:6610/gitv/live1/G_SICHUAN-CQ/G_SICHUAN-CQ/1.m3u8</v>
      </c>
      <c r="D437" t="str">
        <f>LEFT(A437,B437-1)</f>
        <v>四川卫视</v>
      </c>
    </row>
    <row r="438" spans="1:4" x14ac:dyDescent="0.25">
      <c r="A438" t="s">
        <v>2396</v>
      </c>
      <c r="B438">
        <f>FIND(",",A438)</f>
        <v>5</v>
      </c>
      <c r="C438" t="str">
        <f>MID(A438,B438+1,LEN(A438)-B438)</f>
        <v>http://223.110.255.208:6610/jsyd/live1/G_BEIJING-MD/G_BEIJING-MD/1.m3u8</v>
      </c>
      <c r="D438" t="str">
        <f>LEFT(A438,B438-1)</f>
        <v>北京卫视</v>
      </c>
    </row>
    <row r="439" spans="1:4" x14ac:dyDescent="0.25">
      <c r="A439" t="s">
        <v>2386</v>
      </c>
      <c r="B439">
        <f>FIND(",",A439)</f>
        <v>6</v>
      </c>
      <c r="C439" t="str">
        <f>MID(A439,B439+1,LEN(A439)-B439)</f>
        <v>http://223.110.255.208:6610/jsyd/live1/G_CCTV-1-MD/G_CCTV-1-MD/1.m3u8</v>
      </c>
      <c r="D439" t="str">
        <f>LEFT(A439,B439-1)</f>
        <v>CCTV1</v>
      </c>
    </row>
    <row r="440" spans="1:4" x14ac:dyDescent="0.25">
      <c r="A440" t="s">
        <v>2387</v>
      </c>
      <c r="B440">
        <f>FIND(",",A440)</f>
        <v>6</v>
      </c>
      <c r="C440" t="str">
        <f>MID(A440,B440+1,LEN(A440)-B440)</f>
        <v>http://223.110.255.209:6610/jsyd/live1/G_CCTV-2-MD/G_CCTV-2-MD/1.m3u8</v>
      </c>
      <c r="D440" t="str">
        <f>LEFT(A440,B440-1)</f>
        <v>CCTV2</v>
      </c>
    </row>
    <row r="441" spans="1:4" x14ac:dyDescent="0.25">
      <c r="A441" t="s">
        <v>1856</v>
      </c>
      <c r="B441">
        <f>FIND(",",A441)</f>
        <v>5</v>
      </c>
      <c r="C441" t="str">
        <f>MID(A441,B441+1,LEN(A441)-B441)</f>
        <v>http://ali-m-l.cztv.com/channels/lantian/channel001/1080p.m3u8</v>
      </c>
      <c r="D441" t="str">
        <f>LEFT(A441,B441-1)</f>
        <v>浙江卫视</v>
      </c>
    </row>
    <row r="442" spans="1:4" x14ac:dyDescent="0.25">
      <c r="A442" t="s">
        <v>1857</v>
      </c>
      <c r="B442">
        <f>FIND(",",A442)</f>
        <v>7</v>
      </c>
      <c r="C442" t="str">
        <f>MID(A442,B442+1,LEN(A442)-B442)</f>
        <v>http://ali-m-l.cztv.com/channels/lantian/channel002/1080p.m3u8</v>
      </c>
      <c r="D442" t="str">
        <f>LEFT(A442,B442-1)</f>
        <v>浙江钱江都市</v>
      </c>
    </row>
    <row r="443" spans="1:4" x14ac:dyDescent="0.25">
      <c r="A443" t="s">
        <v>1858</v>
      </c>
      <c r="B443">
        <f>FIND(",",A443)</f>
        <v>5</v>
      </c>
      <c r="C443" t="str">
        <f>MID(A443,B443+1,LEN(A443)-B443)</f>
        <v>http://ali-m-l.cztv.com/channels/lantian/channel003/1080p.m3u8</v>
      </c>
      <c r="D443" t="str">
        <f>LEFT(A443,B443-1)</f>
        <v>浙江经视</v>
      </c>
    </row>
    <row r="444" spans="1:4" x14ac:dyDescent="0.25">
      <c r="A444" t="s">
        <v>1859</v>
      </c>
      <c r="B444">
        <f>FIND(",",A444)</f>
        <v>7</v>
      </c>
      <c r="C444" t="str">
        <f>MID(A444,B444+1,LEN(A444)-B444)</f>
        <v>http://ali-m-l.cztv.com/channels/lantian/channel004/1080p.m3u8</v>
      </c>
      <c r="D444" t="str">
        <f>LEFT(A444,B444-1)</f>
        <v>浙江教科影视</v>
      </c>
    </row>
    <row r="445" spans="1:4" x14ac:dyDescent="0.25">
      <c r="A445" t="s">
        <v>1860</v>
      </c>
      <c r="B445">
        <f>FIND(",",A445)</f>
        <v>7</v>
      </c>
      <c r="C445" t="str">
        <f>MID(A445,B445+1,LEN(A445)-B445)</f>
        <v>http://ali-m-l.cztv.com/channels/lantian/channel006/1080p.m3u8</v>
      </c>
      <c r="D445" t="str">
        <f>LEFT(A445,B445-1)</f>
        <v>浙江民生休闲</v>
      </c>
    </row>
    <row r="446" spans="1:4" x14ac:dyDescent="0.25">
      <c r="A446" t="s">
        <v>1861</v>
      </c>
      <c r="B446">
        <f>FIND(",",A446)</f>
        <v>7</v>
      </c>
      <c r="C446" t="str">
        <f>MID(A446,B446+1,LEN(A446)-B446)</f>
        <v>http://ali-m-l.cztv.com/channels/lantian/channel007/1080p.m3u8</v>
      </c>
      <c r="D446" t="str">
        <f>LEFT(A446,B446-1)</f>
        <v>浙江公共新闻</v>
      </c>
    </row>
    <row r="447" spans="1:4" x14ac:dyDescent="0.25">
      <c r="A447" t="s">
        <v>1862</v>
      </c>
      <c r="B447">
        <f>FIND(",",A447)</f>
        <v>5</v>
      </c>
      <c r="C447" t="str">
        <f>MID(A447,B447+1,LEN(A447)-B447)</f>
        <v>http://ali-m-l.cztv.com/channels/lantian/channel008/1080p.m3u8</v>
      </c>
      <c r="D447" t="str">
        <f>LEFT(A447,B447-1)</f>
        <v>浙江少儿</v>
      </c>
    </row>
    <row r="448" spans="1:4" x14ac:dyDescent="0.25">
      <c r="A448" t="s">
        <v>1863</v>
      </c>
      <c r="B448">
        <f>FIND(",",A448)</f>
        <v>5</v>
      </c>
      <c r="C448" t="str">
        <f>MID(A448,B448+1,LEN(A448)-B448)</f>
        <v>http://ali-m-l.cztv.com/channels/lantian/channel010/1080p.m3u8</v>
      </c>
      <c r="D448" t="str">
        <f>LEFT(A448,B448-1)</f>
        <v>浙江国际</v>
      </c>
    </row>
    <row r="449" spans="1:4" x14ac:dyDescent="0.25">
      <c r="A449" t="s">
        <v>1864</v>
      </c>
      <c r="B449">
        <f>FIND(",",A449)</f>
        <v>5</v>
      </c>
      <c r="C449" t="str">
        <f>MID(A449,B449+1,LEN(A449)-B449)</f>
        <v>http://ali-m-l.cztv.com/channels/lantian/channel012/1080p.m3u8</v>
      </c>
      <c r="D449" t="str">
        <f>LEFT(A449,B449-1)</f>
        <v>之江纪录</v>
      </c>
    </row>
    <row r="450" spans="1:4" x14ac:dyDescent="0.25">
      <c r="A450" t="s">
        <v>1728</v>
      </c>
      <c r="B450">
        <f>FIND(",",A450)</f>
        <v>5</v>
      </c>
      <c r="C450" t="str">
        <f>MID(A450,B450+1,LEN(A450)-B450)</f>
        <v>http://dafeng-tv-hls.cm.jstv.com/dafeng-tv/dafenget.m3u8</v>
      </c>
      <c r="D450" t="str">
        <f>LEFT(A450,B450-1)</f>
        <v>大丰公共</v>
      </c>
    </row>
    <row r="451" spans="1:4" x14ac:dyDescent="0.25">
      <c r="A451" t="s">
        <v>1727</v>
      </c>
      <c r="B451">
        <f>FIND(",",A451)</f>
        <v>5</v>
      </c>
      <c r="C451" t="str">
        <f>MID(A451,B451+1,LEN(A451)-B451)</f>
        <v>http://dafeng-tv-hls.cm.jstv.com/dafeng-tv/dafengyt.m3u8</v>
      </c>
      <c r="D451" t="str">
        <f>LEFT(A451,B451-1)</f>
        <v>大丰新闻</v>
      </c>
    </row>
    <row r="452" spans="1:4" x14ac:dyDescent="0.25">
      <c r="A452" t="s">
        <v>1729</v>
      </c>
      <c r="B452">
        <f>FIND(",",A452)</f>
        <v>5</v>
      </c>
      <c r="C452" t="str">
        <f>MID(A452,B452+1,LEN(A452)-B452)</f>
        <v>http://dongtai-tv-hls.cm.jstv.com/dongtai-tv/dongtaizonghe.m3u8</v>
      </c>
      <c r="D452" t="str">
        <f>LEFT(A452,B452-1)</f>
        <v>东台-1</v>
      </c>
    </row>
    <row r="453" spans="1:4" x14ac:dyDescent="0.25">
      <c r="A453" t="s">
        <v>1980</v>
      </c>
      <c r="B453">
        <f>FIND(",",A453)</f>
        <v>5</v>
      </c>
      <c r="C453" t="str">
        <f>MID(A453,B453+1,LEN(A453)-B453)</f>
        <v>http://event.pull.hebtv.com/live/live101.m3u8</v>
      </c>
      <c r="D453" t="str">
        <f>LEFT(A453,B453-1)</f>
        <v>河北4K</v>
      </c>
    </row>
    <row r="454" spans="1:4" x14ac:dyDescent="0.25">
      <c r="A454" t="s">
        <v>2063</v>
      </c>
      <c r="B454">
        <f>FIND(",",A454)</f>
        <v>5</v>
      </c>
      <c r="C454" t="str">
        <f>MID(A454,B454+1,LEN(A454)-B454)</f>
        <v>http://gaoyou-tv-hls.cm.jstv.com/gaoyou-tv/gaoyouxw.m3u8</v>
      </c>
      <c r="D454" t="str">
        <f>LEFT(A454,B454-1)</f>
        <v>高邮-1</v>
      </c>
    </row>
    <row r="455" spans="1:4" x14ac:dyDescent="0.25">
      <c r="A455" t="s">
        <v>1633</v>
      </c>
      <c r="B455">
        <f>FIND(",",A455)</f>
        <v>6</v>
      </c>
      <c r="C455" t="str">
        <f>MID(A455,B455+1,LEN(A455)-B455)</f>
        <v>http://gslbserv.itv.cmvideo.cn/3000000001000005308/index.m3u8?channel-id=FifastbLive&amp;Contentid=3000000001000005308&amp;livemode=1&amp;stbId=YanG-1989</v>
      </c>
      <c r="D455" t="str">
        <f>LEFT(A455,B455-1)</f>
        <v>咪视界-1</v>
      </c>
    </row>
    <row r="456" spans="1:4" x14ac:dyDescent="0.25">
      <c r="A456" t="s">
        <v>1634</v>
      </c>
      <c r="B456">
        <f>FIND(",",A456)</f>
        <v>6</v>
      </c>
      <c r="C456" t="str">
        <f>MID(A456,B456+1,LEN(A456)-B456)</f>
        <v>http://gslbserv.itv.cmvideo.cn/3000000001000005969/index.m3u8?channel-id=FifastbLive&amp;Contentid=3000000001000005969&amp;livemode=1&amp;stbId=YanG-1989</v>
      </c>
      <c r="D456" t="str">
        <f>LEFT(A456,B456-1)</f>
        <v>咪视界-2</v>
      </c>
    </row>
    <row r="457" spans="1:4" x14ac:dyDescent="0.25">
      <c r="A457" t="s">
        <v>1635</v>
      </c>
      <c r="B457">
        <f>FIND(",",A457)</f>
        <v>6</v>
      </c>
      <c r="C457" t="str">
        <f>MID(A457,B457+1,LEN(A457)-B457)</f>
        <v>http://gslbserv.itv.cmvideo.cn/3000000001000007218/index.m3u8?channel-id=FifastbLive&amp;Contentid=3000000001000007218&amp;livemode=1&amp;stbId=YanG-1989</v>
      </c>
      <c r="D457" t="str">
        <f>LEFT(A457,B457-1)</f>
        <v>咪视界-3</v>
      </c>
    </row>
    <row r="458" spans="1:4" x14ac:dyDescent="0.25">
      <c r="A458" t="s">
        <v>1636</v>
      </c>
      <c r="B458">
        <f>FIND(",",A458)</f>
        <v>6</v>
      </c>
      <c r="C458" t="str">
        <f>MID(A458,B458+1,LEN(A458)-B458)</f>
        <v>http://gslbserv.itv.cmvideo.cn/3000000001000008001/index.m3u8?channel-id=FifastbLive&amp;Contentid=3000000001000008001&amp;livemode=1&amp;stbId=YanG-1989</v>
      </c>
      <c r="D458" t="str">
        <f>LEFT(A458,B458-1)</f>
        <v>咪视界-4</v>
      </c>
    </row>
    <row r="459" spans="1:4" x14ac:dyDescent="0.25">
      <c r="A459" t="s">
        <v>1637</v>
      </c>
      <c r="B459">
        <f>FIND(",",A459)</f>
        <v>6</v>
      </c>
      <c r="C459" t="str">
        <f>MID(A459,B459+1,LEN(A459)-B459)</f>
        <v>http://gslbserv.itv.cmvideo.cn/3000000001000008176/index.m3u8?channel-id=FifastbLive&amp;Contentid=3000000001000008176&amp;livemode=1&amp;stbId=YanG-1989</v>
      </c>
      <c r="D459" t="str">
        <f>LEFT(A459,B459-1)</f>
        <v>咪视界-5</v>
      </c>
    </row>
    <row r="460" spans="1:4" x14ac:dyDescent="0.25">
      <c r="A460" t="s">
        <v>1638</v>
      </c>
      <c r="B460">
        <f>FIND(",",A460)</f>
        <v>6</v>
      </c>
      <c r="C460" t="str">
        <f>MID(A460,B460+1,LEN(A460)-B460)</f>
        <v>http://gslbserv.itv.cmvideo.cn/3000000001000008379/index.m3u8?channel-id=FifastbLive&amp;Contentid=3000000001000008379&amp;livemode=1&amp;stbId=YanG-1989</v>
      </c>
      <c r="D460" t="str">
        <f>LEFT(A460,B460-1)</f>
        <v>咪视界-6</v>
      </c>
    </row>
    <row r="461" spans="1:4" x14ac:dyDescent="0.25">
      <c r="A461" t="s">
        <v>1639</v>
      </c>
      <c r="B461">
        <f>FIND(",",A461)</f>
        <v>6</v>
      </c>
      <c r="C461" t="str">
        <f>MID(A461,B461+1,LEN(A461)-B461)</f>
        <v>http://gslbserv.itv.cmvideo.cn/3000000001000010129/index.m3u8?channel-id=FifastbLive&amp;Contentid=3000000001000010129&amp;livemode=1&amp;stbId=YanG-1989</v>
      </c>
      <c r="D461" t="str">
        <f>LEFT(A461,B461-1)</f>
        <v>咪视界-7</v>
      </c>
    </row>
    <row r="462" spans="1:4" x14ac:dyDescent="0.25">
      <c r="A462" t="s">
        <v>1640</v>
      </c>
      <c r="B462">
        <f>FIND(",",A462)</f>
        <v>6</v>
      </c>
      <c r="C462" t="str">
        <f>MID(A462,B462+1,LEN(A462)-B462)</f>
        <v>http://gslbserv.itv.cmvideo.cn/3000000001000010948/index.m3u8?channel-id=FifastbLive&amp;Contentid=3000000001000010948&amp;livemode=1&amp;stbId=YanG-1989</v>
      </c>
      <c r="D462" t="str">
        <f>LEFT(A462,B462-1)</f>
        <v>咪视界-8</v>
      </c>
    </row>
    <row r="463" spans="1:4" x14ac:dyDescent="0.25">
      <c r="A463" t="s">
        <v>1641</v>
      </c>
      <c r="B463">
        <f>FIND(",",A463)</f>
        <v>6</v>
      </c>
      <c r="C463" t="str">
        <f>MID(A463,B463+1,LEN(A463)-B463)</f>
        <v>http://gslbserv.itv.cmvideo.cn/3000000001000028638/index.m3u8?channel-id=FifastbLive&amp;Contentid=3000000001000028638&amp;livemode=1&amp;stbId=YanG-1989</v>
      </c>
      <c r="D463" t="str">
        <f>LEFT(A463,B463-1)</f>
        <v>咪视界-9</v>
      </c>
    </row>
    <row r="464" spans="1:4" x14ac:dyDescent="0.25">
      <c r="A464" t="s">
        <v>1642</v>
      </c>
      <c r="B464">
        <f>FIND(",",A464)</f>
        <v>7</v>
      </c>
      <c r="C464" t="str">
        <f>MID(A464,B464+1,LEN(A464)-B464)</f>
        <v>http://gslbserv.itv.cmvideo.cn/3000000001000031494/index.m3u8?channel-id=FifastbLive&amp;Contentid=3000000001000031494&amp;livemode=1&amp;stbId=YanG-1989</v>
      </c>
      <c r="D464" t="str">
        <f>LEFT(A464,B464-1)</f>
        <v>咪视界-10</v>
      </c>
    </row>
    <row r="465" spans="1:4" x14ac:dyDescent="0.25">
      <c r="A465" t="s">
        <v>1643</v>
      </c>
      <c r="B465">
        <f>FIND(",",A465)</f>
        <v>7</v>
      </c>
      <c r="C465" t="str">
        <f>MID(A465,B465+1,LEN(A465)-B465)</f>
        <v>http://gslbserv.itv.cmvideo.cn/3000000010000000097/index.m3u8?channel-id=FifastbLive&amp;Contentid=3000000010000000097&amp;livemode=1&amp;stbId=YanG-1989</v>
      </c>
      <c r="D465" t="str">
        <f>LEFT(A465,B465-1)</f>
        <v>咪视界-11</v>
      </c>
    </row>
    <row r="466" spans="1:4" x14ac:dyDescent="0.25">
      <c r="A466" t="s">
        <v>1644</v>
      </c>
      <c r="B466">
        <f>FIND(",",A466)</f>
        <v>7</v>
      </c>
      <c r="C466" t="str">
        <f>MID(A466,B466+1,LEN(A466)-B466)</f>
        <v>http://gslbserv.itv.cmvideo.cn/3000000010000002019/index.m3u8?channel-id=FifastbLive&amp;Contentid=3000000010000002019&amp;livemode=1&amp;stbId=YanG-1989</v>
      </c>
      <c r="D466" t="str">
        <f>LEFT(A466,B466-1)</f>
        <v>咪视界-12</v>
      </c>
    </row>
    <row r="467" spans="1:4" x14ac:dyDescent="0.25">
      <c r="A467" t="s">
        <v>1645</v>
      </c>
      <c r="B467">
        <f>FIND(",",A467)</f>
        <v>7</v>
      </c>
      <c r="C467" t="str">
        <f>MID(A467,B467+1,LEN(A467)-B467)</f>
        <v>http://gslbserv.itv.cmvideo.cn/3000000010000002809/index.m3u8?channel-id=FifastbLive&amp;Contentid=3000000010000002809&amp;livemode=1&amp;stbId=YanG-1989</v>
      </c>
      <c r="D467" t="str">
        <f>LEFT(A467,B467-1)</f>
        <v>咪视界-13</v>
      </c>
    </row>
    <row r="468" spans="1:4" x14ac:dyDescent="0.25">
      <c r="A468" t="s">
        <v>1646</v>
      </c>
      <c r="B468">
        <f>FIND(",",A468)</f>
        <v>7</v>
      </c>
      <c r="C468" t="str">
        <f>MID(A468,B468+1,LEN(A468)-B468)</f>
        <v>http://gslbserv.itv.cmvideo.cn/3000000010000003915/index.m3u8?channel-id=FifastbLive&amp;Contentid=3000000010000003915&amp;livemode=1&amp;stbId=YanG-1989</v>
      </c>
      <c r="D468" t="str">
        <f>LEFT(A468,B468-1)</f>
        <v>咪视界-14</v>
      </c>
    </row>
    <row r="469" spans="1:4" x14ac:dyDescent="0.25">
      <c r="A469" t="s">
        <v>1647</v>
      </c>
      <c r="B469">
        <f>FIND(",",A469)</f>
        <v>7</v>
      </c>
      <c r="C469" t="str">
        <f>MID(A469,B469+1,LEN(A469)-B469)</f>
        <v>http://gslbserv.itv.cmvideo.cn/3000000010000004193/index.m3u8?channel-id=FifastbLive&amp;Contentid=3000000010000004193&amp;livemode=1&amp;stbId=YanG-1989</v>
      </c>
      <c r="D469" t="str">
        <f>LEFT(A469,B469-1)</f>
        <v>咪视界-15</v>
      </c>
    </row>
    <row r="470" spans="1:4" x14ac:dyDescent="0.25">
      <c r="A470" t="s">
        <v>1663</v>
      </c>
      <c r="B470">
        <f>FIND(",",A470)</f>
        <v>6</v>
      </c>
      <c r="C470" t="str">
        <f>MID(A470,B470+1,LEN(A470)-B470)</f>
        <v>http://gslbserv.itv.cmvideo.cn/3000000010000005180/index.m3u8?channel-id=FifastbLive&amp;Contentid=3000000010000005180&amp;livemode=1&amp;stbId=YanG-1989</v>
      </c>
      <c r="D470" t="str">
        <f>LEFT(A470,B470-1)</f>
        <v>咪视界4K</v>
      </c>
    </row>
    <row r="471" spans="1:4" x14ac:dyDescent="0.25">
      <c r="A471" t="s">
        <v>1648</v>
      </c>
      <c r="B471">
        <f>FIND(",",A471)</f>
        <v>7</v>
      </c>
      <c r="C471" t="str">
        <f>MID(A471,B471+1,LEN(A471)-B471)</f>
        <v>http://gslbserv.itv.cmvideo.cn/3000000010000005837/index.m3u8?channel-id=FifastbLive&amp;Contentid=3000000010000005837&amp;livemode=1&amp;stbId=YanG-1989</v>
      </c>
      <c r="D471" t="str">
        <f>LEFT(A471,B471-1)</f>
        <v>咪视界-16</v>
      </c>
    </row>
    <row r="472" spans="1:4" x14ac:dyDescent="0.25">
      <c r="A472" t="s">
        <v>1649</v>
      </c>
      <c r="B472">
        <f>FIND(",",A472)</f>
        <v>7</v>
      </c>
      <c r="C472" t="str">
        <f>MID(A472,B472+1,LEN(A472)-B472)</f>
        <v>http://gslbserv.itv.cmvideo.cn/3000000010000006077/index.m3u8?channel-id=FifastbLive&amp;Contentid=3000000010000006077&amp;livemode=1&amp;stbId=YanG-1989</v>
      </c>
      <c r="D472" t="str">
        <f>LEFT(A472,B472-1)</f>
        <v>咪视界-17</v>
      </c>
    </row>
    <row r="473" spans="1:4" x14ac:dyDescent="0.25">
      <c r="A473" t="s">
        <v>1650</v>
      </c>
      <c r="B473">
        <f>FIND(",",A473)</f>
        <v>7</v>
      </c>
      <c r="C473" t="str">
        <f>MID(A473,B473+1,LEN(A473)-B473)</f>
        <v>http://gslbserv.itv.cmvideo.cn/3000000010000006658/index.m3u8?channel-id=FifastbLive&amp;Contentid=3000000010000006658&amp;livemode=1&amp;stbId=YanG-1989</v>
      </c>
      <c r="D473" t="str">
        <f>LEFT(A473,B473-1)</f>
        <v>咪视界-18</v>
      </c>
    </row>
    <row r="474" spans="1:4" x14ac:dyDescent="0.25">
      <c r="A474" t="s">
        <v>1651</v>
      </c>
      <c r="B474">
        <f>FIND(",",A474)</f>
        <v>7</v>
      </c>
      <c r="C474" t="str">
        <f>MID(A474,B474+1,LEN(A474)-B474)</f>
        <v>http://gslbserv.itv.cmvideo.cn/3000000010000009788/index.m3u8?channel-id=FifastbLive&amp;Contentid=3000000010000009788&amp;livemode=1&amp;stbId=YanG-1989</v>
      </c>
      <c r="D474" t="str">
        <f>LEFT(A474,B474-1)</f>
        <v>咪视界-19</v>
      </c>
    </row>
    <row r="475" spans="1:4" x14ac:dyDescent="0.25">
      <c r="A475" t="s">
        <v>1652</v>
      </c>
      <c r="B475">
        <f>FIND(",",A475)</f>
        <v>7</v>
      </c>
      <c r="C475" t="str">
        <f>MID(A475,B475+1,LEN(A475)-B475)</f>
        <v>http://gslbserv.itv.cmvideo.cn/3000000010000010833/index.m3u8?channel-id=FifastbLive&amp;Contentid=3000000010000010833&amp;livemode=1&amp;stbId=YanG-1989</v>
      </c>
      <c r="D475" t="str">
        <f>LEFT(A475,B475-1)</f>
        <v>咪视界-20</v>
      </c>
    </row>
    <row r="476" spans="1:4" x14ac:dyDescent="0.25">
      <c r="A476" t="s">
        <v>1653</v>
      </c>
      <c r="B476">
        <f>FIND(",",A476)</f>
        <v>7</v>
      </c>
      <c r="C476" t="str">
        <f>MID(A476,B476+1,LEN(A476)-B476)</f>
        <v>http://gslbserv.itv.cmvideo.cn/3000000010000011297/index.m3u8?channel-id=FifastbLive&amp;Contentid=3000000010000011297&amp;livemode=1&amp;stbId=YanG-1989</v>
      </c>
      <c r="D476" t="str">
        <f>LEFT(A476,B476-1)</f>
        <v>咪视界-21</v>
      </c>
    </row>
    <row r="477" spans="1:4" x14ac:dyDescent="0.25">
      <c r="A477" t="s">
        <v>1654</v>
      </c>
      <c r="B477">
        <f>FIND(",",A477)</f>
        <v>7</v>
      </c>
      <c r="C477" t="str">
        <f>MID(A477,B477+1,LEN(A477)-B477)</f>
        <v>http://gslbserv.itv.cmvideo.cn/3000000010000012558/index.m3u8?channel-id=FifastbLive&amp;Contentid=3000000010000012558&amp;livemode=1&amp;stbId=YanG-1989</v>
      </c>
      <c r="D477" t="str">
        <f>LEFT(A477,B477-1)</f>
        <v>咪视界-23</v>
      </c>
    </row>
    <row r="478" spans="1:4" x14ac:dyDescent="0.25">
      <c r="A478" t="s">
        <v>1655</v>
      </c>
      <c r="B478">
        <f>FIND(",",A478)</f>
        <v>7</v>
      </c>
      <c r="C478" t="str">
        <f>MID(A478,B478+1,LEN(A478)-B478)</f>
        <v>http://gslbserv.itv.cmvideo.cn/3000000010000012616/index.m3u8?channel-id=FifastbLive&amp;Contentid=3000000010000012616&amp;livemode=1&amp;stbId=YanG-1989</v>
      </c>
      <c r="D478" t="str">
        <f>LEFT(A478,B478-1)</f>
        <v>咪视界-24</v>
      </c>
    </row>
    <row r="479" spans="1:4" x14ac:dyDescent="0.25">
      <c r="A479" t="s">
        <v>1656</v>
      </c>
      <c r="B479">
        <f>FIND(",",A479)</f>
        <v>7</v>
      </c>
      <c r="C479" t="str">
        <f>MID(A479,B479+1,LEN(A479)-B479)</f>
        <v>http://gslbserv.itv.cmvideo.cn/3000000010000015560/index.m3u8?channel-id=FifastbLive&amp;Contentid=3000000010000015560&amp;livemode=1&amp;stbId=YanG-1989</v>
      </c>
      <c r="D479" t="str">
        <f>LEFT(A479,B479-1)</f>
        <v>咪视界-26</v>
      </c>
    </row>
    <row r="480" spans="1:4" x14ac:dyDescent="0.25">
      <c r="A480" t="s">
        <v>1664</v>
      </c>
      <c r="B480">
        <f>FIND(",",A480)</f>
        <v>8</v>
      </c>
      <c r="C480" t="str">
        <f>MID(A480,B480+1,LEN(A480)-B480)</f>
        <v>http://gslbserv.itv.cmvideo.cn/3000000010000015686/index.m3u8?channel-id=FifastbLive&amp;Contentid=3000000010000015686&amp;livemode=1&amp;stbId=3</v>
      </c>
      <c r="D480" t="str">
        <f>LEFT(A480,B480-1)</f>
        <v>至臻世界-4K</v>
      </c>
    </row>
    <row r="481" spans="1:4" x14ac:dyDescent="0.25">
      <c r="A481" t="s">
        <v>1657</v>
      </c>
      <c r="B481">
        <f>FIND(",",A481)</f>
        <v>7</v>
      </c>
      <c r="C481" t="str">
        <f>MID(A481,B481+1,LEN(A481)-B481)</f>
        <v>http://gslbserv.itv.cmvideo.cn/3000000010000019839/index.m3u8?channel-id=FifastbLive&amp;Contentid=3000000010000019839&amp;livemode=1&amp;stbId=YanG-1989</v>
      </c>
      <c r="D481" t="str">
        <f>LEFT(A481,B481-1)</f>
        <v>咪视界-28</v>
      </c>
    </row>
    <row r="482" spans="1:4" x14ac:dyDescent="0.25">
      <c r="A482" t="s">
        <v>1658</v>
      </c>
      <c r="B482">
        <f>FIND(",",A482)</f>
        <v>7</v>
      </c>
      <c r="C482" t="str">
        <f>MID(A482,B482+1,LEN(A482)-B482)</f>
        <v>http://gslbserv.itv.cmvideo.cn/3000000010000021904/index.m3u8?channel-id=FifastbLive&amp;Contentid=3000000010000021904&amp;livemode=1&amp;stbId=YanG-1989</v>
      </c>
      <c r="D482" t="str">
        <f>LEFT(A482,B482-1)</f>
        <v>咪视界-29</v>
      </c>
    </row>
    <row r="483" spans="1:4" x14ac:dyDescent="0.25">
      <c r="A483" t="s">
        <v>1659</v>
      </c>
      <c r="B483">
        <f>FIND(",",A483)</f>
        <v>7</v>
      </c>
      <c r="C483" t="str">
        <f>MID(A483,B483+1,LEN(A483)-B483)</f>
        <v>http://gslbserv.itv.cmvideo.cn/3000000010000023434/index.m3u8?channel-id=FifastbLive&amp;Contentid=3000000010000023434&amp;livemode=1&amp;stbId=YanG-1989</v>
      </c>
      <c r="D483" t="str">
        <f>LEFT(A483,B483-1)</f>
        <v>咪视界-30</v>
      </c>
    </row>
    <row r="484" spans="1:4" x14ac:dyDescent="0.25">
      <c r="A484" t="s">
        <v>1660</v>
      </c>
      <c r="B484">
        <f>FIND(",",A484)</f>
        <v>7</v>
      </c>
      <c r="C484" t="str">
        <f>MID(A484,B484+1,LEN(A484)-B484)</f>
        <v>http://gslbserv.itv.cmvideo.cn/3000000010000025380/index.m3u8?channel-id=FifastbLive&amp;Contentid=3000000010000025380&amp;livemode=1&amp;stbId=YanG-1989</v>
      </c>
      <c r="D484" t="str">
        <f>LEFT(A484,B484-1)</f>
        <v>咪视界-31</v>
      </c>
    </row>
    <row r="485" spans="1:4" x14ac:dyDescent="0.25">
      <c r="A485" t="s">
        <v>1661</v>
      </c>
      <c r="B485">
        <f>FIND(",",A485)</f>
        <v>7</v>
      </c>
      <c r="C485" t="str">
        <f>MID(A485,B485+1,LEN(A485)-B485)</f>
        <v>http://gslbserv.itv.cmvideo.cn/3000000010000027691/index.m3u8?channel-id=FifastbLive&amp;Contentid=3000000010000027691&amp;livemode=1&amp;stbId=YanG-1989</v>
      </c>
      <c r="D485" t="str">
        <f>LEFT(A485,B485-1)</f>
        <v>咪视界-32</v>
      </c>
    </row>
    <row r="486" spans="1:4" x14ac:dyDescent="0.25">
      <c r="A486" t="s">
        <v>1662</v>
      </c>
      <c r="B486">
        <f>FIND(",",A486)</f>
        <v>7</v>
      </c>
      <c r="C486" t="str">
        <f>MID(A486,B486+1,LEN(A486)-B486)</f>
        <v>http://gslbserv.itv.cmvideo.cn/3000000010000031669/index.m3u8?channel-id=FifastbLive&amp;Contentid=3000000010000031669&amp;livemode=1&amp;stbId=YanG-1989</v>
      </c>
      <c r="D486" t="str">
        <f>LEFT(A486,B486-1)</f>
        <v>咪视界-33</v>
      </c>
    </row>
    <row r="487" spans="1:4" x14ac:dyDescent="0.25">
      <c r="A487" t="s">
        <v>1979</v>
      </c>
      <c r="B487">
        <f>FIND(",",A487)</f>
        <v>7</v>
      </c>
      <c r="C487" t="str">
        <f>MID(A487,B487+1,LEN(A487)-B487)</f>
        <v>http://ikuai.haleeyo.cn:9003/udp/239.77.0.27:5146</v>
      </c>
      <c r="D487" t="str">
        <f>LEFT(A487,B487-1)</f>
        <v>广东卫视4K</v>
      </c>
    </row>
    <row r="488" spans="1:4" x14ac:dyDescent="0.25">
      <c r="A488" t="s">
        <v>1765</v>
      </c>
      <c r="B488">
        <f>FIND(",",A488)</f>
        <v>5</v>
      </c>
      <c r="C488" t="str">
        <f>MID(A488,B488+1,LEN(A488)-B488)</f>
        <v>http://jinhu-tv-hls.cm.jstv.com/jinhu-tv/jinhuzh.m3u8</v>
      </c>
      <c r="D488" t="str">
        <f>LEFT(A488,B488-1)</f>
        <v>金湖综合</v>
      </c>
    </row>
    <row r="489" spans="1:4" x14ac:dyDescent="0.25">
      <c r="A489" t="s">
        <v>1764</v>
      </c>
      <c r="B489">
        <f>FIND(",",A489)</f>
        <v>5</v>
      </c>
      <c r="C489" t="str">
        <f>MID(A489,B489+1,LEN(A489)-B489)</f>
        <v>http://lianshui-tv-hls.cm.jstv.com/lianshui-tv/lsxw.m3u8</v>
      </c>
      <c r="D489" t="str">
        <f>LEFT(A489,B489-1)</f>
        <v>涟水综合</v>
      </c>
    </row>
    <row r="490" spans="1:4" x14ac:dyDescent="0.25">
      <c r="A490" t="s">
        <v>2057</v>
      </c>
      <c r="B490">
        <f>FIND(",",A490)</f>
        <v>7</v>
      </c>
      <c r="C490" t="str">
        <f>MID(A490,B490+1,LEN(A490)-B490)</f>
        <v>http://live-auth.51kandianshi.com/szgd/csztv1.m3u8</v>
      </c>
      <c r="D490" t="str">
        <f>LEFT(A490,B490-1)</f>
        <v>苏州新闻综合</v>
      </c>
    </row>
    <row r="491" spans="1:4" x14ac:dyDescent="0.25">
      <c r="A491" t="s">
        <v>2058</v>
      </c>
      <c r="B491">
        <f>FIND(",",A491)</f>
        <v>7</v>
      </c>
      <c r="C491" t="str">
        <f>MID(A491,B491+1,LEN(A491)-B491)</f>
        <v>http://live-auth.51kandianshi.com/szgd/csztv2.m3u8</v>
      </c>
      <c r="D491" t="str">
        <f>LEFT(A491,B491-1)</f>
        <v>苏州社会经济</v>
      </c>
    </row>
    <row r="492" spans="1:4" x14ac:dyDescent="0.25">
      <c r="A492" t="s">
        <v>2059</v>
      </c>
      <c r="B492">
        <f>FIND(",",A492)</f>
        <v>7</v>
      </c>
      <c r="C492" t="str">
        <f>MID(A492,B492+1,LEN(A492)-B492)</f>
        <v>http://live-auth.51kandianshi.com/szgd/csztv3.m3u8</v>
      </c>
      <c r="D492" t="str">
        <f>LEFT(A492,B492-1)</f>
        <v>苏州文化生活</v>
      </c>
    </row>
    <row r="493" spans="1:4" x14ac:dyDescent="0.25">
      <c r="A493" t="s">
        <v>2060</v>
      </c>
      <c r="B493">
        <f>FIND(",",A493)</f>
        <v>7</v>
      </c>
      <c r="C493" t="str">
        <f>MID(A493,B493+1,LEN(A493)-B493)</f>
        <v>http://live-auth.51kandianshi.com/szgd/csztv4.m3u8</v>
      </c>
      <c r="D493" t="str">
        <f>LEFT(A493,B493-1)</f>
        <v>苏州电影娱乐</v>
      </c>
    </row>
    <row r="494" spans="1:4" x14ac:dyDescent="0.25">
      <c r="A494" t="s">
        <v>2061</v>
      </c>
      <c r="B494">
        <f>FIND(",",A494)</f>
        <v>7</v>
      </c>
      <c r="C494" t="str">
        <f>MID(A494,B494+1,LEN(A494)-B494)</f>
        <v>http://live-auth.51kandianshi.com/szgd/csztv5.m3u8</v>
      </c>
      <c r="D494" t="str">
        <f>LEFT(A494,B494-1)</f>
        <v>苏州生活资讯</v>
      </c>
    </row>
    <row r="495" spans="1:4" x14ac:dyDescent="0.25">
      <c r="A495" t="s">
        <v>1273</v>
      </c>
      <c r="B495">
        <f>FIND(",",A495)</f>
        <v>6</v>
      </c>
      <c r="C495" t="str">
        <f>MID(A495,B495+1,LEN(A495)-B495)</f>
        <v>http://ott.mobaibox.com/PLTV/4/224/3221225530/index.m3u8</v>
      </c>
      <c r="D495" t="str">
        <f>LEFT(A495,B495-1)</f>
        <v>CCTV1</v>
      </c>
    </row>
    <row r="496" spans="1:4" x14ac:dyDescent="0.25">
      <c r="A496" t="s">
        <v>1375</v>
      </c>
      <c r="B496">
        <f>FIND(",",A496)</f>
        <v>6</v>
      </c>
      <c r="C496" t="str">
        <f>MID(A496,B496+1,LEN(A496)-B496)</f>
        <v>http://ott.mobaibox.com/PLTV/4/224/3221225532/index.m3u8</v>
      </c>
      <c r="D496" t="str">
        <f>LEFT(A496,B496-1)</f>
        <v>CCTV9</v>
      </c>
    </row>
    <row r="497" spans="1:4" x14ac:dyDescent="0.25">
      <c r="A497" t="s">
        <v>1311</v>
      </c>
      <c r="B497">
        <f>FIND(",",A497)</f>
        <v>6</v>
      </c>
      <c r="C497" t="str">
        <f>MID(A497,B497+1,LEN(A497)-B497)</f>
        <v>http://ott.mobaibox.com/PLTV/4/224/3221225534/index.m3u8</v>
      </c>
      <c r="D497" t="str">
        <f>LEFT(A497,B497-1)</f>
        <v>CCTV4</v>
      </c>
    </row>
    <row r="498" spans="1:4" x14ac:dyDescent="0.25">
      <c r="A498" t="s">
        <v>1559</v>
      </c>
      <c r="B498">
        <f>FIND(",",A498)</f>
        <v>5</v>
      </c>
      <c r="C498" t="str">
        <f>MID(A498,B498+1,LEN(A498)-B498)</f>
        <v>http://ott.mobaibox.com/PLTV/4/224/3221225536/index.m3u8</v>
      </c>
      <c r="D498" t="str">
        <f>LEFT(A498,B498-1)</f>
        <v>江西卫视</v>
      </c>
    </row>
    <row r="499" spans="1:4" x14ac:dyDescent="0.25">
      <c r="A499" t="s">
        <v>1782</v>
      </c>
      <c r="B499">
        <f>FIND(",",A499)</f>
        <v>5</v>
      </c>
      <c r="C499" t="str">
        <f>MID(A499,B499+1,LEN(A499)-B499)</f>
        <v>http://ott.mobaibox.com/PLTV/4/224/3221225539/index.m3u8</v>
      </c>
      <c r="D499" t="str">
        <f>LEFT(A499,B499-1)</f>
        <v>哒啵赛事</v>
      </c>
    </row>
    <row r="500" spans="1:4" x14ac:dyDescent="0.25">
      <c r="A500" t="s">
        <v>1357</v>
      </c>
      <c r="B500">
        <f>FIND(",",A500)</f>
        <v>6</v>
      </c>
      <c r="C500" t="str">
        <f>MID(A500,B500+1,LEN(A500)-B500)</f>
        <v>http://ott.mobaibox.com/PLTV/4/224/3221225546/index.m3u8</v>
      </c>
      <c r="D500" t="str">
        <f>LEFT(A500,B500-1)</f>
        <v>CCTV7</v>
      </c>
    </row>
    <row r="501" spans="1:4" x14ac:dyDescent="0.25">
      <c r="A501" t="s">
        <v>1345</v>
      </c>
      <c r="B501">
        <f>FIND(",",A501)</f>
        <v>6</v>
      </c>
      <c r="C501" t="str">
        <f>MID(A501,B501+1,LEN(A501)-B501)</f>
        <v>http://ott.mobaibox.com/PLTV/4/224/3221225548/index.m3u8</v>
      </c>
      <c r="D501" t="str">
        <f>LEFT(A501,B501-1)</f>
        <v>CCTV6</v>
      </c>
    </row>
    <row r="502" spans="1:4" x14ac:dyDescent="0.25">
      <c r="A502" t="s">
        <v>1381</v>
      </c>
      <c r="B502">
        <f>FIND(",",A502)</f>
        <v>7</v>
      </c>
      <c r="C502" t="str">
        <f>MID(A502,B502+1,LEN(A502)-B502)</f>
        <v>http://ott.mobaibox.com/PLTV/4/224/3221225550/index.m3u8</v>
      </c>
      <c r="D502" t="str">
        <f>LEFT(A502,B502-1)</f>
        <v>CCTV10</v>
      </c>
    </row>
    <row r="503" spans="1:4" x14ac:dyDescent="0.25">
      <c r="A503" t="s">
        <v>1773</v>
      </c>
      <c r="B503">
        <f>FIND(",",A503)</f>
        <v>5</v>
      </c>
      <c r="C503" t="str">
        <f>MID(A503,B503+1,LEN(A503)-B503)</f>
        <v>http://ott.mobaibox.com/PLTV/4/224/3221225555/index.m3u8</v>
      </c>
      <c r="D503" t="str">
        <f>LEFT(A503,B503-1)</f>
        <v>黑莓动画</v>
      </c>
    </row>
    <row r="504" spans="1:4" x14ac:dyDescent="0.25">
      <c r="A504" t="s">
        <v>1390</v>
      </c>
      <c r="B504">
        <f>FIND(",",A504)</f>
        <v>7</v>
      </c>
      <c r="C504" t="str">
        <f>MID(A504,B504+1,LEN(A504)-B504)</f>
        <v>http://ott.mobaibox.com/PLTV/4/224/3221225556/index.m3u8</v>
      </c>
      <c r="D504" t="str">
        <f>LEFT(A504,B504-1)</f>
        <v>CCTV12</v>
      </c>
    </row>
    <row r="505" spans="1:4" x14ac:dyDescent="0.25">
      <c r="A505" t="s">
        <v>1397</v>
      </c>
      <c r="B505">
        <f>FIND(",",A505)</f>
        <v>7</v>
      </c>
      <c r="C505" t="str">
        <f>MID(A505,B505+1,LEN(A505)-B505)</f>
        <v>http://ott.mobaibox.com/PLTV/4/224/3221225560/index.m3u8</v>
      </c>
      <c r="D505" t="str">
        <f>LEFT(A505,B505-1)</f>
        <v>CCTV13</v>
      </c>
    </row>
    <row r="506" spans="1:4" x14ac:dyDescent="0.25">
      <c r="A506" t="s">
        <v>1792</v>
      </c>
      <c r="B506">
        <f>FIND(",",A506)</f>
        <v>5</v>
      </c>
      <c r="C506" t="str">
        <f>MID(A506,B506+1,LEN(A506)-B506)</f>
        <v>http://ott.mobaibox.com/PLTV/4/224/3221225567/index.m3u8</v>
      </c>
      <c r="D506" t="str">
        <f>LEFT(A506,B506-1)</f>
        <v>黑莓电影</v>
      </c>
    </row>
    <row r="507" spans="1:4" x14ac:dyDescent="0.25">
      <c r="A507" t="s">
        <v>1300</v>
      </c>
      <c r="B507">
        <f>FIND(",",A507)</f>
        <v>6</v>
      </c>
      <c r="C507" t="str">
        <f>MID(A507,B507+1,LEN(A507)-B507)</f>
        <v>http://ott.mobaibox.com/PLTV/4/224/3221225588/index.m3u8</v>
      </c>
      <c r="D507" t="str">
        <f>LEFT(A507,B507-1)</f>
        <v>CCTV3</v>
      </c>
    </row>
    <row r="508" spans="1:4" x14ac:dyDescent="0.25">
      <c r="A508" t="s">
        <v>1333</v>
      </c>
      <c r="B508">
        <f>FIND(",",A508)</f>
        <v>7</v>
      </c>
      <c r="C508" t="str">
        <f>MID(A508,B508+1,LEN(A508)-B508)</f>
        <v>http://ott.mobaibox.com/PLTV/4/224/3221225604/index.m3u8</v>
      </c>
      <c r="D508" t="str">
        <f>LEFT(A508,B508-1)</f>
        <v>CCTV5+</v>
      </c>
    </row>
    <row r="509" spans="1:4" x14ac:dyDescent="0.25">
      <c r="A509" t="s">
        <v>1480</v>
      </c>
      <c r="B509">
        <f>FIND(",",A509)</f>
        <v>5</v>
      </c>
      <c r="C509" t="str">
        <f>MID(A509,B509+1,LEN(A509)-B509)</f>
        <v>http://ott.mobaibox.com/PLTV/4/224/3221225634/index.m3u8</v>
      </c>
      <c r="D509" t="str">
        <f>LEFT(A509,B509-1)</f>
        <v>安徽卫视</v>
      </c>
    </row>
    <row r="510" spans="1:4" x14ac:dyDescent="0.25">
      <c r="A510" t="s">
        <v>1572</v>
      </c>
      <c r="B510">
        <f>FIND(",",A510)</f>
        <v>5</v>
      </c>
      <c r="C510" t="str">
        <f>MID(A510,B510+1,LEN(A510)-B510)</f>
        <v>http://ott.mobaibox.com/PLTV/4/224/3221225783/index.m3u8</v>
      </c>
      <c r="D510" t="str">
        <f>LEFT(A510,B510-1)</f>
        <v>青海卫视</v>
      </c>
    </row>
    <row r="511" spans="1:4" x14ac:dyDescent="0.25">
      <c r="A511" t="s">
        <v>1586</v>
      </c>
      <c r="B511">
        <f>FIND(",",A511)</f>
        <v>5</v>
      </c>
      <c r="C511" t="str">
        <f>MID(A511,B511+1,LEN(A511)-B511)</f>
        <v>http://ott.mobaibox.com/PLTV/4/224/3221225786/index.m3u8</v>
      </c>
      <c r="D511" t="str">
        <f>LEFT(A511,B511-1)</f>
        <v>山西卫视</v>
      </c>
    </row>
    <row r="512" spans="1:4" x14ac:dyDescent="0.25">
      <c r="A512" t="s">
        <v>1526</v>
      </c>
      <c r="B512">
        <f>FIND(",",A512)</f>
        <v>5</v>
      </c>
      <c r="C512" t="str">
        <f>MID(A512,B512+1,LEN(A512)-B512)</f>
        <v>http://ott.mobaibox.com/PLTV/4/224/3221225806/index.m3u8</v>
      </c>
      <c r="D512" t="str">
        <f>LEFT(A512,B512-1)</f>
        <v>广西卫视</v>
      </c>
    </row>
    <row r="513" spans="1:4" x14ac:dyDescent="0.25">
      <c r="A513" t="s">
        <v>1570</v>
      </c>
      <c r="B513">
        <f>FIND(",",A513)</f>
        <v>6</v>
      </c>
      <c r="C513" t="str">
        <f>MID(A513,B513+1,LEN(A513)-B513)</f>
        <v>http://ott.mobaibox.com/PLTV/4/224/3221225836/index.m3u8</v>
      </c>
      <c r="D513" t="str">
        <f>LEFT(A513,B513-1)</f>
        <v>内蒙古卫视</v>
      </c>
    </row>
    <row r="514" spans="1:4" x14ac:dyDescent="0.25">
      <c r="A514" t="s">
        <v>1571</v>
      </c>
      <c r="B514">
        <f>FIND(",",A514)</f>
        <v>5</v>
      </c>
      <c r="C514" t="str">
        <f>MID(A514,B514+1,LEN(A514)-B514)</f>
        <v>http://ott.mobaibox.com/PLTV/4/224/3221225842/index.m3u8</v>
      </c>
      <c r="D514" t="str">
        <f>LEFT(A514,B514-1)</f>
        <v>宁夏卫视</v>
      </c>
    </row>
    <row r="515" spans="1:4" x14ac:dyDescent="0.25">
      <c r="A515" t="s">
        <v>1612</v>
      </c>
      <c r="B515">
        <f>FIND(",",A515)</f>
        <v>5</v>
      </c>
      <c r="C515" t="str">
        <f>MID(A515,B515+1,LEN(A515)-B515)</f>
        <v>http://ott.mobaibox.com/PLTV/4/224/3221225844/index.m3u8</v>
      </c>
      <c r="D515" t="str">
        <f>LEFT(A515,B515-1)</f>
        <v>新疆卫视</v>
      </c>
    </row>
    <row r="516" spans="1:4" x14ac:dyDescent="0.25">
      <c r="A516" t="s">
        <v>1981</v>
      </c>
      <c r="B516">
        <f>FIND(",",A516)</f>
        <v>7</v>
      </c>
      <c r="C516" t="str">
        <f>MID(A516,B516+1,LEN(A516)-B516)</f>
        <v>http://ott.mobaibox.com/PLTV/4/224/3221225909/index.m3u8</v>
      </c>
      <c r="D516" t="str">
        <f>LEFT(A516,B516-1)</f>
        <v>CETV-1</v>
      </c>
    </row>
    <row r="517" spans="1:4" x14ac:dyDescent="0.25">
      <c r="A517" t="s">
        <v>1703</v>
      </c>
      <c r="B517">
        <f>FIND(",",A517)</f>
        <v>5</v>
      </c>
      <c r="C517" t="str">
        <f>MID(A517,B517+1,LEN(A517)-B517)</f>
        <v>http://ott.mobaibox.com/PLTV/4/224/3221225925/index.m3u8</v>
      </c>
      <c r="D517" t="str">
        <f>LEFT(A517,B517-1)</f>
        <v>江苏新闻</v>
      </c>
    </row>
    <row r="518" spans="1:4" x14ac:dyDescent="0.25">
      <c r="A518" t="s">
        <v>1700</v>
      </c>
      <c r="B518">
        <f>FIND(",",A518)</f>
        <v>5</v>
      </c>
      <c r="C518" t="str">
        <f>MID(A518,B518+1,LEN(A518)-B518)</f>
        <v>http://ott.mobaibox.com/PLTV/4/224/3221225929/index.m3u8</v>
      </c>
      <c r="D518" t="str">
        <f>LEFT(A518,B518-1)</f>
        <v>江苏城市</v>
      </c>
    </row>
    <row r="519" spans="1:4" x14ac:dyDescent="0.25">
      <c r="A519" t="s">
        <v>1698</v>
      </c>
      <c r="B519">
        <f>FIND(",",A519)</f>
        <v>5</v>
      </c>
      <c r="C519" t="str">
        <f>MID(A519,B519+1,LEN(A519)-B519)</f>
        <v>http://ott.mobaibox.com/PLTV/4/224/3221225931/index.m3u8</v>
      </c>
      <c r="D519" t="str">
        <f>LEFT(A519,B519-1)</f>
        <v>江苏综艺</v>
      </c>
    </row>
    <row r="520" spans="1:4" x14ac:dyDescent="0.25">
      <c r="A520" t="s">
        <v>1705</v>
      </c>
      <c r="B520">
        <f>FIND(",",A520)</f>
        <v>5</v>
      </c>
      <c r="C520" t="str">
        <f>MID(A520,B520+1,LEN(A520)-B520)</f>
        <v>http://ott.mobaibox.com/PLTV/4/224/3221225935/index.m3u8</v>
      </c>
      <c r="D520" t="str">
        <f>LEFT(A520,B520-1)</f>
        <v>江苏体育</v>
      </c>
    </row>
    <row r="521" spans="1:4" x14ac:dyDescent="0.25">
      <c r="A521" t="s">
        <v>1730</v>
      </c>
      <c r="B521">
        <f>FIND(",",A521)</f>
        <v>5</v>
      </c>
      <c r="C521" t="str">
        <f>MID(A521,B521+1,LEN(A521)-B521)</f>
        <v>http://ott.mobaibox.com/PLTV/4/224/3221225945/index.m3u8</v>
      </c>
      <c r="D521" t="str">
        <f>LEFT(A521,B521-1)</f>
        <v>徐州-1</v>
      </c>
    </row>
    <row r="522" spans="1:4" x14ac:dyDescent="0.25">
      <c r="A522" t="s">
        <v>1731</v>
      </c>
      <c r="B522">
        <f>FIND(",",A522)</f>
        <v>5</v>
      </c>
      <c r="C522" t="str">
        <f>MID(A522,B522+1,LEN(A522)-B522)</f>
        <v>http://ott.mobaibox.com/PLTV/4/224/3221225947/index.m3u8</v>
      </c>
      <c r="D522" t="str">
        <f>LEFT(A522,B522-1)</f>
        <v>徐州-2</v>
      </c>
    </row>
    <row r="523" spans="1:4" x14ac:dyDescent="0.25">
      <c r="A523" t="s">
        <v>1732</v>
      </c>
      <c r="B523">
        <f>FIND(",",A523)</f>
        <v>5</v>
      </c>
      <c r="C523" t="str">
        <f>MID(A523,B523+1,LEN(A523)-B523)</f>
        <v>http://ott.mobaibox.com/PLTV/4/224/3221225949/index.m3u8</v>
      </c>
      <c r="D523" t="str">
        <f>LEFT(A523,B523-1)</f>
        <v>徐州-3</v>
      </c>
    </row>
    <row r="524" spans="1:4" x14ac:dyDescent="0.25">
      <c r="A524" t="s">
        <v>1733</v>
      </c>
      <c r="B524">
        <f>FIND(",",A524)</f>
        <v>5</v>
      </c>
      <c r="C524" t="str">
        <f>MID(A524,B524+1,LEN(A524)-B524)</f>
        <v>http://ott.mobaibox.com/PLTV/4/224/3221225951/index.m3u8</v>
      </c>
      <c r="D524" t="str">
        <f>LEFT(A524,B524-1)</f>
        <v>徐州-4</v>
      </c>
    </row>
    <row r="525" spans="1:4" x14ac:dyDescent="0.25">
      <c r="A525" t="s">
        <v>1875</v>
      </c>
      <c r="B525">
        <f>FIND(",",A525)</f>
        <v>8</v>
      </c>
      <c r="C525" t="str">
        <f>MID(A525,B525+1,LEN(A525)-B525)</f>
        <v>http://ott.mobaibox.com/PLTV/4/224/3221225956/index.m3u8</v>
      </c>
      <c r="D525" t="str">
        <f>LEFT(A525,B525-1)</f>
        <v>购物-5956</v>
      </c>
    </row>
    <row r="526" spans="1:4" x14ac:dyDescent="0.25">
      <c r="A526" t="s">
        <v>1611</v>
      </c>
      <c r="B526">
        <f>FIND(",",A526)</f>
        <v>5</v>
      </c>
      <c r="C526" t="str">
        <f>MID(A526,B526+1,LEN(A526)-B526)</f>
        <v>http://ott.mobaibox.com/PLTV/4/224/3221226376/index.m3u8</v>
      </c>
      <c r="D526" t="str">
        <f>LEFT(A526,B526-1)</f>
        <v>西藏卫视</v>
      </c>
    </row>
    <row r="527" spans="1:4" x14ac:dyDescent="0.25">
      <c r="A527" t="s">
        <v>1766</v>
      </c>
      <c r="B527">
        <f>FIND(",",A527)</f>
        <v>5</v>
      </c>
      <c r="C527" t="str">
        <f>MID(A527,B527+1,LEN(A527)-B527)</f>
        <v>http://ott.mobaibox.com/PLTV/4/224/3221226939/index.m3u8</v>
      </c>
      <c r="D527" t="str">
        <f>LEFT(A527,B527-1)</f>
        <v>宿迁公共</v>
      </c>
    </row>
    <row r="528" spans="1:4" x14ac:dyDescent="0.25">
      <c r="A528" t="s">
        <v>1767</v>
      </c>
      <c r="B528">
        <f>FIND(",",A528)</f>
        <v>5</v>
      </c>
      <c r="C528" t="str">
        <f>MID(A528,B528+1,LEN(A528)-B528)</f>
        <v>http://ott.mobaibox.com/PLTV/4/224/3221226944/index.m3u8</v>
      </c>
      <c r="D528" t="str">
        <f>LEFT(A528,B528-1)</f>
        <v>宿迁综合</v>
      </c>
    </row>
    <row r="529" spans="1:4" x14ac:dyDescent="0.25">
      <c r="A529" t="s">
        <v>1289</v>
      </c>
      <c r="B529">
        <f>FIND(",",A529)</f>
        <v>6</v>
      </c>
      <c r="C529" t="str">
        <f>MID(A529,B529+1,LEN(A529)-B529)</f>
        <v>http://ott.mobaibox.com/PLTV/4/224/3221226993/index.m3u8</v>
      </c>
      <c r="D529" t="str">
        <f>LEFT(A529,B529-1)</f>
        <v>CCTV2</v>
      </c>
    </row>
    <row r="530" spans="1:4" x14ac:dyDescent="0.25">
      <c r="A530" t="s">
        <v>1575</v>
      </c>
      <c r="B530">
        <f>FIND(",",A530)</f>
        <v>5</v>
      </c>
      <c r="C530" t="str">
        <f>MID(A530,B530+1,LEN(A530)-B530)</f>
        <v>http://ott.mobaibox.com/PLTV/4/224/3221226996/index.m3u8</v>
      </c>
      <c r="D530" t="str">
        <f>LEFT(A530,B530-1)</f>
        <v>厦门卫视</v>
      </c>
    </row>
    <row r="531" spans="1:4" x14ac:dyDescent="0.25">
      <c r="A531" t="s">
        <v>1588</v>
      </c>
      <c r="B531">
        <f>FIND(",",A531)</f>
        <v>5</v>
      </c>
      <c r="C531" t="str">
        <f>MID(A531,B531+1,LEN(A531)-B531)</f>
        <v>http://ott.mobaibox.com/PLTV/4/224/3221227022/index.m3u8</v>
      </c>
      <c r="D531" t="str">
        <f>LEFT(A531,B531-1)</f>
        <v>陕西卫视</v>
      </c>
    </row>
    <row r="532" spans="1:4" x14ac:dyDescent="0.25">
      <c r="A532" t="s">
        <v>1499</v>
      </c>
      <c r="B532">
        <f>FIND(",",A532)</f>
        <v>5</v>
      </c>
      <c r="C532" t="str">
        <f>MID(A532,B532+1,LEN(A532)-B532)</f>
        <v>http://ott.mobaibox.com/PLTV/4/224/3221227025/index.m3u8</v>
      </c>
      <c r="D532" t="str">
        <f>LEFT(A532,B532-1)</f>
        <v>兵团卫视</v>
      </c>
    </row>
    <row r="533" spans="1:4" x14ac:dyDescent="0.25">
      <c r="A533" t="s">
        <v>1320</v>
      </c>
      <c r="B533">
        <f>FIND(",",A533)</f>
        <v>6</v>
      </c>
      <c r="C533" t="str">
        <f>MID(A533,B533+1,LEN(A533)-B533)</f>
        <v>http://ott.mobaibox.com/PLTV/4/224/3221227166/index.m3u8</v>
      </c>
      <c r="D533" t="str">
        <f>LEFT(A533,B533-1)</f>
        <v>CCTV5</v>
      </c>
    </row>
    <row r="534" spans="1:4" x14ac:dyDescent="0.25">
      <c r="A534" t="s">
        <v>1710</v>
      </c>
      <c r="B534">
        <f>FIND(",",A534)</f>
        <v>5</v>
      </c>
      <c r="C534" t="str">
        <f>MID(A534,B534+1,LEN(A534)-B534)</f>
        <v>http://ott.mobaibox.com/PLTV/4/224/3221227178/index.m3u8</v>
      </c>
      <c r="D534" t="str">
        <f>LEFT(A534,B534-1)</f>
        <v>南京十八</v>
      </c>
    </row>
    <row r="535" spans="1:4" x14ac:dyDescent="0.25">
      <c r="A535" t="s">
        <v>1711</v>
      </c>
      <c r="B535">
        <f>FIND(",",A535)</f>
        <v>5</v>
      </c>
      <c r="C535" t="str">
        <f>MID(A535,B535+1,LEN(A535)-B535)</f>
        <v>http://ott.mobaibox.com/PLTV/4/224/3221227194/index.m3u8</v>
      </c>
      <c r="D535" t="str">
        <f>LEFT(A535,B535-1)</f>
        <v>南京教科</v>
      </c>
    </row>
    <row r="536" spans="1:4" x14ac:dyDescent="0.25">
      <c r="A536" t="s">
        <v>1404</v>
      </c>
      <c r="B536">
        <f>FIND(",",A536)</f>
        <v>7</v>
      </c>
      <c r="C536" t="str">
        <f>MID(A536,B536+1,LEN(A536)-B536)</f>
        <v>http://ott.mobaibox.com/PLTV/4/224/3221227201/index.m3u8</v>
      </c>
      <c r="D536" t="str">
        <f>LEFT(A536,B536-1)</f>
        <v>CCTV14</v>
      </c>
    </row>
    <row r="537" spans="1:4" x14ac:dyDescent="0.25">
      <c r="A537" t="s">
        <v>1363</v>
      </c>
      <c r="B537">
        <f>FIND(",",A537)</f>
        <v>6</v>
      </c>
      <c r="C537" t="str">
        <f>MID(A537,B537+1,LEN(A537)-B537)</f>
        <v>http://ott.mobaibox.com/PLTV/4/224/3221227205/index.m3u8</v>
      </c>
      <c r="D537" t="str">
        <f>LEFT(A537,B537-1)</f>
        <v>CCTV8</v>
      </c>
    </row>
    <row r="538" spans="1:4" x14ac:dyDescent="0.25">
      <c r="A538" t="s">
        <v>1290</v>
      </c>
      <c r="B538">
        <f>FIND(",",A538)</f>
        <v>6</v>
      </c>
      <c r="C538" t="str">
        <f>MID(A538,B538+1,LEN(A538)-B538)</f>
        <v>http://ott.mobaibox.com/PLTV/4/224/3221227207/index.m3u8</v>
      </c>
      <c r="D538" t="str">
        <f>LEFT(A538,B538-1)</f>
        <v>CCTV2</v>
      </c>
    </row>
    <row r="539" spans="1:4" x14ac:dyDescent="0.25">
      <c r="A539" t="s">
        <v>1501</v>
      </c>
      <c r="B539">
        <f>FIND(",",A539)</f>
        <v>5</v>
      </c>
      <c r="C539" t="str">
        <f>MID(A539,B539+1,LEN(A539)-B539)</f>
        <v>http://ott.mobaibox.com/PLTV/4/224/3221227208/index.m3u8</v>
      </c>
      <c r="D539" t="str">
        <f>LEFT(A539,B539-1)</f>
        <v>东方卫视</v>
      </c>
    </row>
    <row r="540" spans="1:4" x14ac:dyDescent="0.25">
      <c r="A540" t="s">
        <v>1346</v>
      </c>
      <c r="B540">
        <f>FIND(",",A540)</f>
        <v>6</v>
      </c>
      <c r="C540" t="str">
        <f>MID(A540,B540+1,LEN(A540)-B540)</f>
        <v>http://ott.mobaibox.com/PLTV/4/224/3221227209/index.m3u8</v>
      </c>
      <c r="D540" t="str">
        <f>LEFT(A540,B540-1)</f>
        <v>CCTV6</v>
      </c>
    </row>
    <row r="541" spans="1:4" x14ac:dyDescent="0.25">
      <c r="A541" t="s">
        <v>1546</v>
      </c>
      <c r="B541">
        <f>FIND(",",A541)</f>
        <v>5</v>
      </c>
      <c r="C541" t="str">
        <f>MID(A541,B541+1,LEN(A541)-B541)</f>
        <v>http://ott.mobaibox.com/PLTV/4/224/3221227211/index.m3u8</v>
      </c>
      <c r="D541" t="str">
        <f>LEFT(A541,B541-1)</f>
        <v>湖北卫视</v>
      </c>
    </row>
    <row r="542" spans="1:4" x14ac:dyDescent="0.25">
      <c r="A542" t="s">
        <v>1602</v>
      </c>
      <c r="B542">
        <f>FIND(",",A542)</f>
        <v>5</v>
      </c>
      <c r="C542" t="str">
        <f>MID(A542,B542+1,LEN(A542)-B542)</f>
        <v>http://ott.mobaibox.com/PLTV/4/224/3221227212/index.m3u8</v>
      </c>
      <c r="D542" t="str">
        <f>LEFT(A542,B542-1)</f>
        <v>天津卫视</v>
      </c>
    </row>
    <row r="543" spans="1:4" x14ac:dyDescent="0.25">
      <c r="A543" t="s">
        <v>1707</v>
      </c>
      <c r="B543">
        <f>FIND(",",A543)</f>
        <v>7</v>
      </c>
      <c r="C543" t="str">
        <f>MID(A543,B543+1,LEN(A543)-B543)</f>
        <v>http://ott.mobaibox.com/PLTV/4/224/3221227213/index.m3u8</v>
      </c>
      <c r="D543" t="str">
        <f>LEFT(A543,B543-1)</f>
        <v>南京新闻综合</v>
      </c>
    </row>
    <row r="544" spans="1:4" x14ac:dyDescent="0.25">
      <c r="A544" t="s">
        <v>1472</v>
      </c>
      <c r="B544">
        <f>FIND(",",A544)</f>
        <v>5</v>
      </c>
      <c r="C544" t="str">
        <f>MID(A544,B544+1,LEN(A544)-B544)</f>
        <v>http://ott.mobaibox.com/PLTV/4/224/3221227215/index.m3u8</v>
      </c>
      <c r="D544" t="str">
        <f>LEFT(A544,B544-1)</f>
        <v>浙江卫视</v>
      </c>
    </row>
    <row r="545" spans="1:4" x14ac:dyDescent="0.25">
      <c r="A545" t="s">
        <v>1589</v>
      </c>
      <c r="B545">
        <f>FIND(",",A545)</f>
        <v>5</v>
      </c>
      <c r="C545" t="str">
        <f>MID(A545,B545+1,LEN(A545)-B545)</f>
        <v>http://ott.mobaibox.com/PLTV/4/224/3221227217/index.m3u8</v>
      </c>
      <c r="D545" t="str">
        <f>LEFT(A545,B545-1)</f>
        <v>深圳卫视</v>
      </c>
    </row>
    <row r="546" spans="1:4" x14ac:dyDescent="0.25">
      <c r="A546" t="s">
        <v>1464</v>
      </c>
      <c r="B546">
        <f>FIND(",",A546)</f>
        <v>5</v>
      </c>
      <c r="C546" t="str">
        <f>MID(A546,B546+1,LEN(A546)-B546)</f>
        <v>http://ott.mobaibox.com/PLTV/4/224/3221227220/index.m3u8</v>
      </c>
      <c r="D546" t="str">
        <f>LEFT(A546,B546-1)</f>
        <v>湖南卫视</v>
      </c>
    </row>
    <row r="547" spans="1:4" x14ac:dyDescent="0.25">
      <c r="A547" t="s">
        <v>1489</v>
      </c>
      <c r="B547">
        <f>FIND(",",A547)</f>
        <v>5</v>
      </c>
      <c r="C547" t="str">
        <f>MID(A547,B547+1,LEN(A547)-B547)</f>
        <v>http://ott.mobaibox.com/PLTV/4/224/3221227246/index.m3u8</v>
      </c>
      <c r="D547" t="str">
        <f>LEFT(A547,B547-1)</f>
        <v>北京卫视</v>
      </c>
    </row>
    <row r="548" spans="1:4" x14ac:dyDescent="0.25">
      <c r="A548" t="s">
        <v>1515</v>
      </c>
      <c r="B548">
        <f>FIND(",",A548)</f>
        <v>5</v>
      </c>
      <c r="C548" t="str">
        <f>MID(A548,B548+1,LEN(A548)-B548)</f>
        <v>http://ott.mobaibox.com/PLTV/4/224/3221227249/index.m3u8</v>
      </c>
      <c r="D548" t="str">
        <f>LEFT(A548,B548-1)</f>
        <v>广东卫视</v>
      </c>
    </row>
    <row r="549" spans="1:4" x14ac:dyDescent="0.25">
      <c r="A549" t="s">
        <v>1537</v>
      </c>
      <c r="B549">
        <f>FIND(",",A549)</f>
        <v>6</v>
      </c>
      <c r="C549" t="str">
        <f>MID(A549,B549+1,LEN(A549)-B549)</f>
        <v>http://ott.mobaibox.com/PLTV/4/224/3221227252/index.m3u8</v>
      </c>
      <c r="D549" t="str">
        <f>LEFT(A549,B549-1)</f>
        <v>黑龙江卫视</v>
      </c>
    </row>
    <row r="550" spans="1:4" x14ac:dyDescent="0.25">
      <c r="A550" t="s">
        <v>1445</v>
      </c>
      <c r="B550">
        <f>FIND(",",A550)</f>
        <v>5</v>
      </c>
      <c r="C550" t="str">
        <f>MID(A550,B550+1,LEN(A550)-B550)</f>
        <v>http://ott.mobaibox.com/PLTV/4/224/3221227255/index.m3u8</v>
      </c>
      <c r="D550" t="str">
        <f>LEFT(A550,B550-1)</f>
        <v>江苏卫视</v>
      </c>
    </row>
    <row r="551" spans="1:4" x14ac:dyDescent="0.25">
      <c r="A551" t="s">
        <v>1576</v>
      </c>
      <c r="B551">
        <f>FIND(",",A551)</f>
        <v>5</v>
      </c>
      <c r="C551" t="str">
        <f>MID(A551,B551+1,LEN(A551)-B551)</f>
        <v>http://ott.mobaibox.com/PLTV/4/224/3221227258/index.m3u8</v>
      </c>
      <c r="D551" t="str">
        <f>LEFT(A551,B551-1)</f>
        <v>山东卫视</v>
      </c>
    </row>
    <row r="552" spans="1:4" x14ac:dyDescent="0.25">
      <c r="A552" t="s">
        <v>1734</v>
      </c>
      <c r="B552">
        <f>FIND(",",A552)</f>
        <v>5</v>
      </c>
      <c r="C552" t="str">
        <f>MID(A552,B552+1,LEN(A552)-B552)</f>
        <v>http://ott.mobaibox.com/PLTV/4/224/3221227289/index.m3u8</v>
      </c>
      <c r="D552" t="str">
        <f>LEFT(A552,B552-1)</f>
        <v>新沂-1</v>
      </c>
    </row>
    <row r="553" spans="1:4" x14ac:dyDescent="0.25">
      <c r="A553" t="s">
        <v>1301</v>
      </c>
      <c r="B553">
        <f>FIND(",",A553)</f>
        <v>6</v>
      </c>
      <c r="C553" t="str">
        <f>MID(A553,B553+1,LEN(A553)-B553)</f>
        <v>http://ott.mobaibox.com/PLTV/4/224/3221227295/index.m3u8</v>
      </c>
      <c r="D553" t="str">
        <f>LEFT(A553,B553-1)</f>
        <v>CCTV3</v>
      </c>
    </row>
    <row r="554" spans="1:4" x14ac:dyDescent="0.25">
      <c r="A554" t="s">
        <v>1321</v>
      </c>
      <c r="B554">
        <f>FIND(",",A554)</f>
        <v>6</v>
      </c>
      <c r="C554" t="str">
        <f>MID(A554,B554+1,LEN(A554)-B554)</f>
        <v>http://ott.mobaibox.com/PLTV/4/224/3221227298/index.m3u8</v>
      </c>
      <c r="D554" t="str">
        <f>LEFT(A554,B554-1)</f>
        <v>CCTV5</v>
      </c>
    </row>
    <row r="555" spans="1:4" x14ac:dyDescent="0.25">
      <c r="A555" t="s">
        <v>1347</v>
      </c>
      <c r="B555">
        <f>FIND(",",A555)</f>
        <v>6</v>
      </c>
      <c r="C555" t="str">
        <f>MID(A555,B555+1,LEN(A555)-B555)</f>
        <v>http://ott.mobaibox.com/PLTV/4/224/3221227301/index.m3u8</v>
      </c>
      <c r="D555" t="str">
        <f>LEFT(A555,B555-1)</f>
        <v>CCTV6</v>
      </c>
    </row>
    <row r="556" spans="1:4" x14ac:dyDescent="0.25">
      <c r="A556" t="s">
        <v>1364</v>
      </c>
      <c r="B556">
        <f>FIND(",",A556)</f>
        <v>6</v>
      </c>
      <c r="C556" t="str">
        <f>MID(A556,B556+1,LEN(A556)-B556)</f>
        <v>http://ott.mobaibox.com/PLTV/4/224/3221227304/index.m3u8</v>
      </c>
      <c r="D556" t="str">
        <f>LEFT(A556,B556-1)</f>
        <v>CCTV8</v>
      </c>
    </row>
    <row r="557" spans="1:4" x14ac:dyDescent="0.25">
      <c r="A557" t="s">
        <v>1590</v>
      </c>
      <c r="B557">
        <f>FIND(",",A557)</f>
        <v>5</v>
      </c>
      <c r="C557" t="str">
        <f>MID(A557,B557+1,LEN(A557)-B557)</f>
        <v>http://ott.mobaibox.com/PLTV/4/224/3221227307/index.m3u8</v>
      </c>
      <c r="D557" t="str">
        <f>LEFT(A557,B557-1)</f>
        <v>深圳卫视</v>
      </c>
    </row>
    <row r="558" spans="1:4" x14ac:dyDescent="0.25">
      <c r="A558" t="s">
        <v>1577</v>
      </c>
      <c r="B558">
        <f>FIND(",",A558)</f>
        <v>5</v>
      </c>
      <c r="C558" t="str">
        <f>MID(A558,B558+1,LEN(A558)-B558)</f>
        <v>http://ott.mobaibox.com/PLTV/4/224/3221227310/index.m3u8</v>
      </c>
      <c r="D558" t="str">
        <f>LEFT(A558,B558-1)</f>
        <v>山东卫视</v>
      </c>
    </row>
    <row r="559" spans="1:4" x14ac:dyDescent="0.25">
      <c r="A559" t="s">
        <v>1358</v>
      </c>
      <c r="B559">
        <f>FIND(",",A559)</f>
        <v>6</v>
      </c>
      <c r="C559" t="str">
        <f>MID(A559,B559+1,LEN(A559)-B559)</f>
        <v>http://ott.mobaibox.com/PLTV/4/224/3221227314/index.m3u8</v>
      </c>
      <c r="D559" t="str">
        <f>LEFT(A559,B559-1)</f>
        <v>CCTV7</v>
      </c>
    </row>
    <row r="560" spans="1:4" x14ac:dyDescent="0.25">
      <c r="A560" t="s">
        <v>1382</v>
      </c>
      <c r="B560">
        <f>FIND(",",A560)</f>
        <v>7</v>
      </c>
      <c r="C560" t="str">
        <f>MID(A560,B560+1,LEN(A560)-B560)</f>
        <v>http://ott.mobaibox.com/PLTV/4/224/3221227317/index.m3u8</v>
      </c>
      <c r="D560" t="str">
        <f>LEFT(A560,B560-1)</f>
        <v>CCTV10</v>
      </c>
    </row>
    <row r="561" spans="1:4" x14ac:dyDescent="0.25">
      <c r="A561" t="s">
        <v>1465</v>
      </c>
      <c r="B561">
        <f>FIND(",",A561)</f>
        <v>5</v>
      </c>
      <c r="C561" t="str">
        <f>MID(A561,B561+1,LEN(A561)-B561)</f>
        <v>http://ott.mobaibox.com/PLTV/4/224/3221227320/index.m3u8</v>
      </c>
      <c r="D561" t="str">
        <f>LEFT(A561,B561-1)</f>
        <v>湖南卫视</v>
      </c>
    </row>
    <row r="562" spans="1:4" x14ac:dyDescent="0.25">
      <c r="A562" t="s">
        <v>1538</v>
      </c>
      <c r="B562">
        <f>FIND(",",A562)</f>
        <v>6</v>
      </c>
      <c r="C562" t="str">
        <f>MID(A562,B562+1,LEN(A562)-B562)</f>
        <v>http://ott.mobaibox.com/PLTV/4/224/3221227323/index.m3u8</v>
      </c>
      <c r="D562" t="str">
        <f>LEFT(A562,B562-1)</f>
        <v>黑龙江卫视</v>
      </c>
    </row>
    <row r="563" spans="1:4" x14ac:dyDescent="0.25">
      <c r="A563" t="s">
        <v>1747</v>
      </c>
      <c r="B563">
        <f>FIND(",",A563)</f>
        <v>5</v>
      </c>
      <c r="C563" t="str">
        <f>MID(A563,B563+1,LEN(A563)-B563)</f>
        <v>http://ott.mobaibox.com/PLTV/4/224/3221227325/index.m3u8</v>
      </c>
      <c r="D563" t="str">
        <f>LEFT(A563,B563-1)</f>
        <v>镇江-2</v>
      </c>
    </row>
    <row r="564" spans="1:4" x14ac:dyDescent="0.25">
      <c r="A564" t="s">
        <v>1274</v>
      </c>
      <c r="B564">
        <f>FIND(",",A564)</f>
        <v>6</v>
      </c>
      <c r="C564" t="str">
        <f>MID(A564,B564+1,LEN(A564)-B564)</f>
        <v>http://ott.mobaibox.com/PLTV/4/224/3221227375/index.m3u8</v>
      </c>
      <c r="D564" t="str">
        <f>LEFT(A564,B564-1)</f>
        <v>CCTV1</v>
      </c>
    </row>
    <row r="565" spans="1:4" x14ac:dyDescent="0.25">
      <c r="A565" t="s">
        <v>1547</v>
      </c>
      <c r="B565">
        <f>FIND(",",A565)</f>
        <v>5</v>
      </c>
      <c r="C565" t="str">
        <f>MID(A565,B565+1,LEN(A565)-B565)</f>
        <v>http://ott.mobaibox.com/PLTV/4/224/3221227377/index.m3u8</v>
      </c>
      <c r="D565" t="str">
        <f>LEFT(A565,B565-1)</f>
        <v>湖北卫视</v>
      </c>
    </row>
    <row r="566" spans="1:4" x14ac:dyDescent="0.25">
      <c r="A566" t="s">
        <v>1312</v>
      </c>
      <c r="B566">
        <f>FIND(",",A566)</f>
        <v>6</v>
      </c>
      <c r="C566" t="str">
        <f>MID(A566,B566+1,LEN(A566)-B566)</f>
        <v>http://ott.mobaibox.com/PLTV/4/224/3221227378/index.m3u8</v>
      </c>
      <c r="D566" t="str">
        <f>LEFT(A566,B566-1)</f>
        <v>CCTV4</v>
      </c>
    </row>
    <row r="567" spans="1:4" x14ac:dyDescent="0.25">
      <c r="A567" t="s">
        <v>1563</v>
      </c>
      <c r="B567">
        <f>FIND(",",A567)</f>
        <v>5</v>
      </c>
      <c r="C567" t="str">
        <f>MID(A567,B567+1,LEN(A567)-B567)</f>
        <v>http://ott.mobaibox.com/PLTV/4/224/3221227380/index.m3u8</v>
      </c>
      <c r="D567" t="str">
        <f>LEFT(A567,B567-1)</f>
        <v>辽宁卫视</v>
      </c>
    </row>
    <row r="568" spans="1:4" x14ac:dyDescent="0.25">
      <c r="A568" t="s">
        <v>1334</v>
      </c>
      <c r="B568">
        <f>FIND(",",A568)</f>
        <v>7</v>
      </c>
      <c r="C568" t="str">
        <f>MID(A568,B568+1,LEN(A568)-B568)</f>
        <v>http://ott.mobaibox.com/PLTV/4/224/3221227381/index.m3u8</v>
      </c>
      <c r="D568" t="str">
        <f>LEFT(A568,B568-1)</f>
        <v>CCTV5+</v>
      </c>
    </row>
    <row r="569" spans="1:4" x14ac:dyDescent="0.25">
      <c r="A569" t="s">
        <v>1603</v>
      </c>
      <c r="B569">
        <f>FIND(",",A569)</f>
        <v>5</v>
      </c>
      <c r="C569" t="str">
        <f>MID(A569,B569+1,LEN(A569)-B569)</f>
        <v>http://ott.mobaibox.com/PLTV/4/224/3221227382/index.m3u8</v>
      </c>
      <c r="D569" t="str">
        <f>LEFT(A569,B569-1)</f>
        <v>天津卫视</v>
      </c>
    </row>
    <row r="570" spans="1:4" x14ac:dyDescent="0.25">
      <c r="A570" t="s">
        <v>1387</v>
      </c>
      <c r="B570">
        <f>FIND(",",A570)</f>
        <v>7</v>
      </c>
      <c r="C570" t="str">
        <f>MID(A570,B570+1,LEN(A570)-B570)</f>
        <v>http://ott.mobaibox.com/PLTV/4/224/3221227384/index.m3u8</v>
      </c>
      <c r="D570" t="str">
        <f>LEFT(A570,B570-1)</f>
        <v>CCTV11</v>
      </c>
    </row>
    <row r="571" spans="1:4" x14ac:dyDescent="0.25">
      <c r="A571" t="s">
        <v>1398</v>
      </c>
      <c r="B571">
        <f>FIND(",",A571)</f>
        <v>7</v>
      </c>
      <c r="C571" t="str">
        <f>MID(A571,B571+1,LEN(A571)-B571)</f>
        <v>http://ott.mobaibox.com/PLTV/4/224/3221227387/index.m3u8</v>
      </c>
      <c r="D571" t="str">
        <f>LEFT(A571,B571-1)</f>
        <v>CCTV13</v>
      </c>
    </row>
    <row r="572" spans="1:4" x14ac:dyDescent="0.25">
      <c r="A572" t="s">
        <v>1490</v>
      </c>
      <c r="B572">
        <f>FIND(",",A572)</f>
        <v>5</v>
      </c>
      <c r="C572" t="str">
        <f>MID(A572,B572+1,LEN(A572)-B572)</f>
        <v>http://ott.mobaibox.com/PLTV/4/224/3221227390/index.m3u8</v>
      </c>
      <c r="D572" t="str">
        <f>LEFT(A572,B572-1)</f>
        <v>北京卫视</v>
      </c>
    </row>
    <row r="573" spans="1:4" x14ac:dyDescent="0.25">
      <c r="A573" t="s">
        <v>1473</v>
      </c>
      <c r="B573">
        <f>FIND(",",A573)</f>
        <v>5</v>
      </c>
      <c r="C573" t="str">
        <f>MID(A573,B573+1,LEN(A573)-B573)</f>
        <v>http://ott.mobaibox.com/PLTV/4/224/3221227393/index.m3u8</v>
      </c>
      <c r="D573" t="str">
        <f>LEFT(A573,B573-1)</f>
        <v>浙江卫视</v>
      </c>
    </row>
    <row r="574" spans="1:4" x14ac:dyDescent="0.25">
      <c r="A574" t="s">
        <v>1502</v>
      </c>
      <c r="B574">
        <f>FIND(",",A574)</f>
        <v>5</v>
      </c>
      <c r="C574" t="str">
        <f>MID(A574,B574+1,LEN(A574)-B574)</f>
        <v>http://ott.mobaibox.com/PLTV/4/224/3221227396/index.m3u8</v>
      </c>
      <c r="D574" t="str">
        <f>LEFT(A574,B574-1)</f>
        <v>东方卫视</v>
      </c>
    </row>
    <row r="575" spans="1:4" x14ac:dyDescent="0.25">
      <c r="A575" t="s">
        <v>1516</v>
      </c>
      <c r="B575">
        <f>FIND(",",A575)</f>
        <v>5</v>
      </c>
      <c r="C575" t="str">
        <f>MID(A575,B575+1,LEN(A575)-B575)</f>
        <v>http://ott.mobaibox.com/PLTV/4/224/3221227399/index.m3u8</v>
      </c>
      <c r="D575" t="str">
        <f>LEFT(A575,B575-1)</f>
        <v>广东卫视</v>
      </c>
    </row>
    <row r="576" spans="1:4" x14ac:dyDescent="0.25">
      <c r="A576" t="s">
        <v>1322</v>
      </c>
      <c r="B576">
        <f>FIND(",",A576)</f>
        <v>6</v>
      </c>
      <c r="C576" t="str">
        <f>MID(A576,B576+1,LEN(A576)-B576)</f>
        <v>http://ott.mobaibox.com/PLTV/4/224/3221227401/index.m3u8</v>
      </c>
      <c r="D576" t="str">
        <f>LEFT(A576,B576-1)</f>
        <v>CCTV5</v>
      </c>
    </row>
    <row r="577" spans="1:4" x14ac:dyDescent="0.25">
      <c r="A577" t="s">
        <v>1446</v>
      </c>
      <c r="B577">
        <f>FIND(",",A577)</f>
        <v>5</v>
      </c>
      <c r="C577" t="str">
        <f>MID(A577,B577+1,LEN(A577)-B577)</f>
        <v>http://ott.mobaibox.com/PLTV/4/224/3221227402/index.m3u8</v>
      </c>
      <c r="D577" t="str">
        <f>LEFT(A577,B577-1)</f>
        <v>江苏卫视</v>
      </c>
    </row>
    <row r="578" spans="1:4" x14ac:dyDescent="0.25">
      <c r="A578" t="s">
        <v>1466</v>
      </c>
      <c r="B578">
        <f>FIND(",",A578)</f>
        <v>5</v>
      </c>
      <c r="C578" t="str">
        <f>MID(A578,B578+1,LEN(A578)-B578)</f>
        <v>http://ott.mobaibox.com/PLTV/4/224/3221227404/index.m3u8</v>
      </c>
      <c r="D578" t="str">
        <f>LEFT(A578,B578-1)</f>
        <v>湖南卫视</v>
      </c>
    </row>
    <row r="579" spans="1:4" x14ac:dyDescent="0.25">
      <c r="A579" t="s">
        <v>1604</v>
      </c>
      <c r="B579">
        <f>FIND(",",A579)</f>
        <v>5</v>
      </c>
      <c r="C579" t="str">
        <f>MID(A579,B579+1,LEN(A579)-B579)</f>
        <v>http://ott.mobaibox.com/PLTV/4/224/3221227407/index.m3u8</v>
      </c>
      <c r="D579" t="str">
        <f>LEFT(A579,B579-1)</f>
        <v>天津卫视</v>
      </c>
    </row>
    <row r="580" spans="1:4" x14ac:dyDescent="0.25">
      <c r="A580" t="s">
        <v>1564</v>
      </c>
      <c r="B580">
        <f>FIND(",",A580)</f>
        <v>5</v>
      </c>
      <c r="C580" t="str">
        <f>MID(A580,B580+1,LEN(A580)-B580)</f>
        <v>http://ott.mobaibox.com/PLTV/4/224/3221227410/index.m3u8</v>
      </c>
      <c r="D580" t="str">
        <f>LEFT(A580,B580-1)</f>
        <v>辽宁卫视</v>
      </c>
    </row>
    <row r="581" spans="1:4" x14ac:dyDescent="0.25">
      <c r="A581" t="s">
        <v>1302</v>
      </c>
      <c r="B581">
        <f>FIND(",",A581)</f>
        <v>6</v>
      </c>
      <c r="C581" t="str">
        <f>MID(A581,B581+1,LEN(A581)-B581)</f>
        <v>http://ott.mobaibox.com/PLTV/4/224/3221227424/index.m3u8</v>
      </c>
      <c r="D581" t="str">
        <f>LEFT(A581,B581-1)</f>
        <v>CCTV3</v>
      </c>
    </row>
    <row r="582" spans="1:4" x14ac:dyDescent="0.25">
      <c r="A582" t="s">
        <v>1291</v>
      </c>
      <c r="B582">
        <f>FIND(",",A582)</f>
        <v>6</v>
      </c>
      <c r="C582" t="str">
        <f>MID(A582,B582+1,LEN(A582)-B582)</f>
        <v>http://ott.mobaibox.com/PLTV/4/224/3221227427/index.m3u8</v>
      </c>
      <c r="D582" t="str">
        <f>LEFT(A582,B582-1)</f>
        <v>CCTV2</v>
      </c>
    </row>
    <row r="583" spans="1:4" x14ac:dyDescent="0.25">
      <c r="A583" t="s">
        <v>1348</v>
      </c>
      <c r="B583">
        <f>FIND(",",A583)</f>
        <v>6</v>
      </c>
      <c r="C583" t="str">
        <f>MID(A583,B583+1,LEN(A583)-B583)</f>
        <v>http://ott.mobaibox.com/PLTV/4/224/3221227430/index.m3u8</v>
      </c>
      <c r="D583" t="str">
        <f>LEFT(A583,B583-1)</f>
        <v>CCTV6</v>
      </c>
    </row>
    <row r="584" spans="1:4" x14ac:dyDescent="0.25">
      <c r="A584" t="s">
        <v>1365</v>
      </c>
      <c r="B584">
        <f>FIND(",",A584)</f>
        <v>6</v>
      </c>
      <c r="C584" t="str">
        <f>MID(A584,B584+1,LEN(A584)-B584)</f>
        <v>http://ott.mobaibox.com/PLTV/4/224/3221227433/index.m3u8</v>
      </c>
      <c r="D584" t="str">
        <f>LEFT(A584,B584-1)</f>
        <v>CCTV8</v>
      </c>
    </row>
    <row r="585" spans="1:4" x14ac:dyDescent="0.25">
      <c r="A585" t="s">
        <v>1491</v>
      </c>
      <c r="B585">
        <f>FIND(",",A585)</f>
        <v>5</v>
      </c>
      <c r="C585" t="str">
        <f>MID(A585,B585+1,LEN(A585)-B585)</f>
        <v>http://ott.mobaibox.com/PLTV/4/224/3221227436/index.m3u8</v>
      </c>
      <c r="D585" t="str">
        <f>LEFT(A585,B585-1)</f>
        <v>北京卫视</v>
      </c>
    </row>
    <row r="586" spans="1:4" x14ac:dyDescent="0.25">
      <c r="A586" t="s">
        <v>1447</v>
      </c>
      <c r="B586">
        <f>FIND(",",A586)</f>
        <v>5</v>
      </c>
      <c r="C586" t="str">
        <f>MID(A586,B586+1,LEN(A586)-B586)</f>
        <v>http://ott.mobaibox.com/PLTV/4/224/3221227439/index.m3u8</v>
      </c>
      <c r="D586" t="str">
        <f>LEFT(A586,B586-1)</f>
        <v>江苏卫视</v>
      </c>
    </row>
    <row r="587" spans="1:4" x14ac:dyDescent="0.25">
      <c r="A587" t="s">
        <v>1591</v>
      </c>
      <c r="B587">
        <f>FIND(",",A587)</f>
        <v>5</v>
      </c>
      <c r="C587" t="str">
        <f>MID(A587,B587+1,LEN(A587)-B587)</f>
        <v>http://ott.mobaibox.com/PLTV/4/224/3221227442/index.m3u8</v>
      </c>
      <c r="D587" t="str">
        <f>LEFT(A587,B587-1)</f>
        <v>深圳卫视</v>
      </c>
    </row>
    <row r="588" spans="1:4" x14ac:dyDescent="0.25">
      <c r="A588" t="s">
        <v>1517</v>
      </c>
      <c r="B588">
        <f>FIND(",",A588)</f>
        <v>5</v>
      </c>
      <c r="C588" t="str">
        <f>MID(A588,B588+1,LEN(A588)-B588)</f>
        <v>http://ott.mobaibox.com/PLTV/4/224/3221227445/index.m3u8</v>
      </c>
      <c r="D588" t="str">
        <f>LEFT(A588,B588-1)</f>
        <v>广东卫视</v>
      </c>
    </row>
    <row r="589" spans="1:4" x14ac:dyDescent="0.25">
      <c r="A589" t="s">
        <v>1578</v>
      </c>
      <c r="B589">
        <f>FIND(",",A589)</f>
        <v>5</v>
      </c>
      <c r="C589" t="str">
        <f>MID(A589,B589+1,LEN(A589)-B589)</f>
        <v>http://ott.mobaibox.com/PLTV/4/224/3221227448/index.m3u8</v>
      </c>
      <c r="D589" t="str">
        <f>LEFT(A589,B589-1)</f>
        <v>山东卫视</v>
      </c>
    </row>
    <row r="590" spans="1:4" x14ac:dyDescent="0.25">
      <c r="A590" t="s">
        <v>1275</v>
      </c>
      <c r="B590">
        <f>FIND(",",A590)</f>
        <v>6</v>
      </c>
      <c r="C590" t="str">
        <f>MID(A590,B590+1,LEN(A590)-B590)</f>
        <v>http://ott.mobaibox.com/PLTV/4/224/3221227462/index.m3u8</v>
      </c>
      <c r="D590" t="str">
        <f>LEFT(A590,B590-1)</f>
        <v>CCTV1</v>
      </c>
    </row>
    <row r="591" spans="1:4" x14ac:dyDescent="0.25">
      <c r="A591" t="s">
        <v>1276</v>
      </c>
      <c r="B591">
        <f>FIND(",",A591)</f>
        <v>6</v>
      </c>
      <c r="C591" t="str">
        <f>MID(A591,B591+1,LEN(A591)-B591)</f>
        <v>http://ott.mobaibox.com/PLTV/4/224/3221227467/index.m3u8</v>
      </c>
      <c r="D591" t="str">
        <f>LEFT(A591,B591-1)</f>
        <v>CCTV1</v>
      </c>
    </row>
    <row r="592" spans="1:4" x14ac:dyDescent="0.25">
      <c r="A592" t="s">
        <v>1366</v>
      </c>
      <c r="B592">
        <f>FIND(",",A592)</f>
        <v>6</v>
      </c>
      <c r="C592" t="str">
        <f>MID(A592,B592+1,LEN(A592)-B592)</f>
        <v>http://ott.mobaibox.com/PLTV/4/224/3221227473/index.m3u8</v>
      </c>
      <c r="D592" t="str">
        <f>LEFT(A592,B592-1)</f>
        <v>CCTV8</v>
      </c>
    </row>
    <row r="593" spans="1:4" x14ac:dyDescent="0.25">
      <c r="A593" t="s">
        <v>1676</v>
      </c>
      <c r="B593">
        <f>FIND(",",A593)</f>
        <v>5</v>
      </c>
      <c r="C593" t="str">
        <f>MID(A593,B593+1,LEN(A593)-B593)</f>
        <v>http://ott.mobaibox.com/PLTV/4/224/3221227475/index.m3u8</v>
      </c>
      <c r="D593" t="str">
        <f>LEFT(A593,B593-1)</f>
        <v>炫舞未来</v>
      </c>
    </row>
    <row r="594" spans="1:4" x14ac:dyDescent="0.25">
      <c r="A594" t="s">
        <v>1518</v>
      </c>
      <c r="B594">
        <f>FIND(",",A594)</f>
        <v>5</v>
      </c>
      <c r="C594" t="str">
        <f>MID(A594,B594+1,LEN(A594)-B594)</f>
        <v>http://ott.mobaibox.com/PLTV/4/224/3221227476/index.m3u8</v>
      </c>
      <c r="D594" t="str">
        <f>LEFT(A594,B594-1)</f>
        <v>广东卫视</v>
      </c>
    </row>
    <row r="595" spans="1:4" x14ac:dyDescent="0.25">
      <c r="A595" t="s">
        <v>1548</v>
      </c>
      <c r="B595">
        <f>FIND(",",A595)</f>
        <v>5</v>
      </c>
      <c r="C595" t="str">
        <f>MID(A595,B595+1,LEN(A595)-B595)</f>
        <v>http://ott.mobaibox.com/PLTV/4/224/3221227479/index.m3u8</v>
      </c>
      <c r="D595" t="str">
        <f>LEFT(A595,B595-1)</f>
        <v>湖北卫视</v>
      </c>
    </row>
    <row r="596" spans="1:4" x14ac:dyDescent="0.25">
      <c r="A596" t="s">
        <v>1335</v>
      </c>
      <c r="B596">
        <f>FIND(",",A596)</f>
        <v>7</v>
      </c>
      <c r="C596" t="str">
        <f>MID(A596,B596+1,LEN(A596)-B596)</f>
        <v>http://ott.mobaibox.com/PLTV/4/224/3221227480/index.m3u8</v>
      </c>
      <c r="D596" t="str">
        <f>LEFT(A596,B596-1)</f>
        <v>CCTV5+</v>
      </c>
    </row>
    <row r="597" spans="1:4" x14ac:dyDescent="0.25">
      <c r="A597" t="s">
        <v>1467</v>
      </c>
      <c r="B597">
        <f>FIND(",",A597)</f>
        <v>5</v>
      </c>
      <c r="C597" t="str">
        <f>MID(A597,B597+1,LEN(A597)-B597)</f>
        <v>http://ott.mobaibox.com/PLTV/4/224/3221227482/index.m3u8</v>
      </c>
      <c r="D597" t="str">
        <f>LEFT(A597,B597-1)</f>
        <v>湖南卫视</v>
      </c>
    </row>
    <row r="598" spans="1:4" x14ac:dyDescent="0.25">
      <c r="A598" t="s">
        <v>1565</v>
      </c>
      <c r="B598">
        <f>FIND(",",A598)</f>
        <v>5</v>
      </c>
      <c r="C598" t="str">
        <f>MID(A598,B598+1,LEN(A598)-B598)</f>
        <v>http://ott.mobaibox.com/PLTV/4/224/3221227485/index.m3u8</v>
      </c>
      <c r="D598" t="str">
        <f>LEFT(A598,B598-1)</f>
        <v>辽宁卫视</v>
      </c>
    </row>
    <row r="599" spans="1:4" x14ac:dyDescent="0.25">
      <c r="A599" t="s">
        <v>1503</v>
      </c>
      <c r="B599">
        <f>FIND(",",A599)</f>
        <v>5</v>
      </c>
      <c r="C599" t="str">
        <f>MID(A599,B599+1,LEN(A599)-B599)</f>
        <v>http://ott.mobaibox.com/PLTV/4/224/3221227486/index.m3u8</v>
      </c>
      <c r="D599" t="str">
        <f>LEFT(A599,B599-1)</f>
        <v>东方卫视</v>
      </c>
    </row>
    <row r="600" spans="1:4" x14ac:dyDescent="0.25">
      <c r="A600" t="s">
        <v>1605</v>
      </c>
      <c r="B600">
        <f>FIND(",",A600)</f>
        <v>5</v>
      </c>
      <c r="C600" t="str">
        <f>MID(A600,B600+1,LEN(A600)-B600)</f>
        <v>http://ott.mobaibox.com/PLTV/4/224/3221227488/index.m3u8</v>
      </c>
      <c r="D600" t="str">
        <f>LEFT(A600,B600-1)</f>
        <v>天津卫视</v>
      </c>
    </row>
    <row r="601" spans="1:4" x14ac:dyDescent="0.25">
      <c r="A601" t="s">
        <v>1313</v>
      </c>
      <c r="B601">
        <f>FIND(",",A601)</f>
        <v>6</v>
      </c>
      <c r="C601" t="str">
        <f>MID(A601,B601+1,LEN(A601)-B601)</f>
        <v>http://ott.mobaibox.com/PLTV/4/224/3221227489/index.m3u8</v>
      </c>
      <c r="D601" t="str">
        <f>LEFT(A601,B601-1)</f>
        <v>CCTV4</v>
      </c>
    </row>
    <row r="602" spans="1:4" x14ac:dyDescent="0.25">
      <c r="A602" t="s">
        <v>1474</v>
      </c>
      <c r="B602">
        <f>FIND(",",A602)</f>
        <v>5</v>
      </c>
      <c r="C602" t="str">
        <f>MID(A602,B602+1,LEN(A602)-B602)</f>
        <v>http://ott.mobaibox.com/PLTV/4/224/3221227491/index.m3u8</v>
      </c>
      <c r="D602" t="str">
        <f>LEFT(A602,B602-1)</f>
        <v>浙江卫视</v>
      </c>
    </row>
    <row r="603" spans="1:4" x14ac:dyDescent="0.25">
      <c r="A603" t="s">
        <v>1539</v>
      </c>
      <c r="B603">
        <f>FIND(",",A603)</f>
        <v>6</v>
      </c>
      <c r="C603" t="str">
        <f>MID(A603,B603+1,LEN(A603)-B603)</f>
        <v>http://ott.mobaibox.com/PLTV/4/224/3221227492/index.m3u8</v>
      </c>
      <c r="D603" t="str">
        <f>LEFT(A603,B603-1)</f>
        <v>黑龙江卫视</v>
      </c>
    </row>
    <row r="604" spans="1:4" x14ac:dyDescent="0.25">
      <c r="A604" t="s">
        <v>1549</v>
      </c>
      <c r="B604">
        <f>FIND(",",A604)</f>
        <v>5</v>
      </c>
      <c r="C604" t="str">
        <f>MID(A604,B604+1,LEN(A604)-B604)</f>
        <v>http://ott.mobaibox.com/PLTV/4/224/3221227495/index.m3u8</v>
      </c>
      <c r="D604" t="str">
        <f>LEFT(A604,B604-1)</f>
        <v>湖北卫视</v>
      </c>
    </row>
    <row r="605" spans="1:4" x14ac:dyDescent="0.25">
      <c r="A605" t="s">
        <v>1481</v>
      </c>
      <c r="B605">
        <f>FIND(",",A605)</f>
        <v>5</v>
      </c>
      <c r="C605" t="str">
        <f>MID(A605,B605+1,LEN(A605)-B605)</f>
        <v>http://ott.mobaibox.com/PLTV/4/224/3221227498/index.m3u8</v>
      </c>
      <c r="D605" t="str">
        <f>LEFT(A605,B605-1)</f>
        <v>安徽卫视</v>
      </c>
    </row>
    <row r="606" spans="1:4" x14ac:dyDescent="0.25">
      <c r="A606" t="s">
        <v>1336</v>
      </c>
      <c r="B606">
        <f>FIND(",",A606)</f>
        <v>7</v>
      </c>
      <c r="C606" t="str">
        <f>MID(A606,B606+1,LEN(A606)-B606)</f>
        <v>http://ott.mobaibox.com/PLTV/4/224/3221227502/index.m3u8</v>
      </c>
      <c r="D606" t="str">
        <f>LEFT(A606,B606-1)</f>
        <v>CCTV5+</v>
      </c>
    </row>
    <row r="607" spans="1:4" x14ac:dyDescent="0.25">
      <c r="A607" t="s">
        <v>1349</v>
      </c>
      <c r="B607">
        <f>FIND(",",A607)</f>
        <v>6</v>
      </c>
      <c r="C607" t="str">
        <f>MID(A607,B607+1,LEN(A607)-B607)</f>
        <v>http://ott.mobaibox.com/PLTV/4/224/3221227505/index.m3u8</v>
      </c>
      <c r="D607" t="str">
        <f>LEFT(A607,B607-1)</f>
        <v>CCTV6</v>
      </c>
    </row>
    <row r="608" spans="1:4" x14ac:dyDescent="0.25">
      <c r="A608" t="s">
        <v>1788</v>
      </c>
      <c r="B608">
        <f>FIND(",",A608)</f>
        <v>8</v>
      </c>
      <c r="C608" t="str">
        <f>MID(A608,B608+1,LEN(A608)-B608)</f>
        <v>http://ott.mobaibox.com/PLTV/4/224/3221227506/index.m3u8</v>
      </c>
      <c r="D608" t="str">
        <f>LEFT(A608,B608-1)</f>
        <v>4KUHD-1</v>
      </c>
    </row>
    <row r="609" spans="1:4" x14ac:dyDescent="0.25">
      <c r="A609" t="s">
        <v>1492</v>
      </c>
      <c r="B609">
        <f>FIND(",",A609)</f>
        <v>5</v>
      </c>
      <c r="C609" t="str">
        <f>MID(A609,B609+1,LEN(A609)-B609)</f>
        <v>http://ott.mobaibox.com/PLTV/4/224/3221227508/index.m3u8</v>
      </c>
      <c r="D609" t="str">
        <f>LEFT(A609,B609-1)</f>
        <v>北京卫视</v>
      </c>
    </row>
    <row r="610" spans="1:4" x14ac:dyDescent="0.25">
      <c r="A610" t="s">
        <v>1504</v>
      </c>
      <c r="B610">
        <f>FIND(",",A610)</f>
        <v>5</v>
      </c>
      <c r="C610" t="str">
        <f>MID(A610,B610+1,LEN(A610)-B610)</f>
        <v>http://ott.mobaibox.com/PLTV/4/224/3221227511/index.m3u8</v>
      </c>
      <c r="D610" t="str">
        <f>LEFT(A610,B610-1)</f>
        <v>东方卫视</v>
      </c>
    </row>
    <row r="611" spans="1:4" x14ac:dyDescent="0.25">
      <c r="A611" t="s">
        <v>1692</v>
      </c>
      <c r="B611">
        <f>FIND(",",A611)</f>
        <v>5</v>
      </c>
      <c r="C611" t="str">
        <f>MID(A611,B611+1,LEN(A611)-B611)</f>
        <v>http://ott.mobaibox.com/PLTV/4/224/3221227512/index.m3u8</v>
      </c>
      <c r="D611" t="str">
        <f>LEFT(A611,B611-1)</f>
        <v>热播精选</v>
      </c>
    </row>
    <row r="612" spans="1:4" x14ac:dyDescent="0.25">
      <c r="A612" t="s">
        <v>1540</v>
      </c>
      <c r="B612">
        <f>FIND(",",A612)</f>
        <v>6</v>
      </c>
      <c r="C612" t="str">
        <f>MID(A612,B612+1,LEN(A612)-B612)</f>
        <v>http://ott.mobaibox.com/PLTV/4/224/3221227514/index.m3u8</v>
      </c>
      <c r="D612" t="str">
        <f>LEFT(A612,B612-1)</f>
        <v>黑龙江卫视</v>
      </c>
    </row>
    <row r="613" spans="1:4" x14ac:dyDescent="0.25">
      <c r="A613" t="s">
        <v>1579</v>
      </c>
      <c r="B613">
        <f>FIND(",",A613)</f>
        <v>5</v>
      </c>
      <c r="C613" t="str">
        <f>MID(A613,B613+1,LEN(A613)-B613)</f>
        <v>http://ott.mobaibox.com/PLTV/4/224/3221227517/index.m3u8</v>
      </c>
      <c r="D613" t="str">
        <f>LEFT(A613,B613-1)</f>
        <v>山东卫视</v>
      </c>
    </row>
    <row r="614" spans="1:4" x14ac:dyDescent="0.25">
      <c r="A614" t="s">
        <v>1793</v>
      </c>
      <c r="B614">
        <f>FIND(",",A614)</f>
        <v>5</v>
      </c>
      <c r="C614" t="str">
        <f>MID(A614,B614+1,LEN(A614)-B614)</f>
        <v>http://ott.mobaibox.com/PLTV/4/224/3221227520/index.m3u8</v>
      </c>
      <c r="D614" t="str">
        <f>LEFT(A614,B614-1)</f>
        <v>黑莓电影</v>
      </c>
    </row>
    <row r="615" spans="1:4" x14ac:dyDescent="0.25">
      <c r="A615" t="s">
        <v>1388</v>
      </c>
      <c r="B615">
        <f>FIND(",",A615)</f>
        <v>7</v>
      </c>
      <c r="C615" t="str">
        <f>MID(A615,B615+1,LEN(A615)-B615)</f>
        <v>http://ott.mobaibox.com/PLTV/4/224/3221227524/index.m3u8</v>
      </c>
      <c r="D615" t="str">
        <f>LEFT(A615,B615-1)</f>
        <v>CCTV11</v>
      </c>
    </row>
    <row r="616" spans="1:4" x14ac:dyDescent="0.25">
      <c r="A616" t="s">
        <v>1674</v>
      </c>
      <c r="B616">
        <f>FIND(",",A616)</f>
        <v>5</v>
      </c>
      <c r="C616" t="str">
        <f>MID(A616,B616+1,LEN(A616)-B616)</f>
        <v>http://ott.mobaibox.com/PLTV/4/224/3221227527/index.m3u8</v>
      </c>
      <c r="D616" t="str">
        <f>LEFT(A616,B616-1)</f>
        <v>潮妈辣婆</v>
      </c>
    </row>
    <row r="617" spans="1:4" x14ac:dyDescent="0.25">
      <c r="A617" t="s">
        <v>1673</v>
      </c>
      <c r="B617">
        <f>FIND(",",A617)</f>
        <v>5</v>
      </c>
      <c r="C617" t="str">
        <f>MID(A617,B617+1,LEN(A617)-B617)</f>
        <v>http://ott.mobaibox.com/PLTV/4/224/3221227530/index.m3u8</v>
      </c>
      <c r="D617" t="str">
        <f>LEFT(A617,B617-1)</f>
        <v>中国功夫</v>
      </c>
    </row>
    <row r="618" spans="1:4" x14ac:dyDescent="0.25">
      <c r="A618" t="s">
        <v>1675</v>
      </c>
      <c r="B618">
        <f>FIND(",",A618)</f>
        <v>5</v>
      </c>
      <c r="C618" t="str">
        <f>MID(A618,B618+1,LEN(A618)-B618)</f>
        <v>http://ott.mobaibox.com/PLTV/4/224/3221227536/index.m3u8</v>
      </c>
      <c r="D618" t="str">
        <f>LEFT(A618,B618-1)</f>
        <v>惊悚悬疑</v>
      </c>
    </row>
    <row r="619" spans="1:4" x14ac:dyDescent="0.25">
      <c r="A619" t="s">
        <v>1323</v>
      </c>
      <c r="B619">
        <f>FIND(",",A619)</f>
        <v>6</v>
      </c>
      <c r="C619" t="str">
        <f>MID(A619,B619+1,LEN(A619)-B619)</f>
        <v>http://ott.mobaibox.com/PLTV/4/224/3221227537/index.m3u8</v>
      </c>
      <c r="D619" t="str">
        <f>LEFT(A619,B619-1)</f>
        <v>CCTV5</v>
      </c>
    </row>
    <row r="620" spans="1:4" x14ac:dyDescent="0.25">
      <c r="A620" t="s">
        <v>1409</v>
      </c>
      <c r="B620">
        <f>FIND(",",A620)</f>
        <v>7</v>
      </c>
      <c r="C620" t="str">
        <f>MID(A620,B620+1,LEN(A620)-B620)</f>
        <v>http://ott.mobaibox.com/PLTV/4/224/3221227538/index.m3u8</v>
      </c>
      <c r="D620" t="str">
        <f>LEFT(A620,B620-1)</f>
        <v>CCTV15</v>
      </c>
    </row>
    <row r="621" spans="1:4" x14ac:dyDescent="0.25">
      <c r="A621" t="s">
        <v>1691</v>
      </c>
      <c r="B621">
        <f>FIND(",",A621)</f>
        <v>5</v>
      </c>
      <c r="C621" t="str">
        <f>MID(A621,B621+1,LEN(A621)-B621)</f>
        <v>http://ott.mobaibox.com/PLTV/4/224/3221227539/index.m3u8</v>
      </c>
      <c r="D621" t="str">
        <f>LEFT(A621,B621-1)</f>
        <v>海外剧场</v>
      </c>
    </row>
    <row r="622" spans="1:4" x14ac:dyDescent="0.25">
      <c r="A622" t="s">
        <v>1677</v>
      </c>
      <c r="B622">
        <f>FIND(",",A622)</f>
        <v>5</v>
      </c>
      <c r="C622" t="str">
        <f>MID(A622,B622+1,LEN(A622)-B622)</f>
        <v>http://ott.mobaibox.com/PLTV/4/224/3221227541/index.m3u8</v>
      </c>
      <c r="D622" t="str">
        <f>LEFT(A622,B622-1)</f>
        <v>金牌综艺</v>
      </c>
    </row>
    <row r="623" spans="1:4" x14ac:dyDescent="0.25">
      <c r="A623" t="s">
        <v>1678</v>
      </c>
      <c r="B623">
        <f>FIND(",",A623)</f>
        <v>5</v>
      </c>
      <c r="C623" t="str">
        <f>MID(A623,B623+1,LEN(A623)-B623)</f>
        <v>http://ott.mobaibox.com/PLTV/4/224/3221227542/index.m3u8</v>
      </c>
      <c r="D623" t="str">
        <f>LEFT(A623,B623-1)</f>
        <v>古装剧场</v>
      </c>
    </row>
    <row r="624" spans="1:4" x14ac:dyDescent="0.25">
      <c r="A624" t="s">
        <v>1292</v>
      </c>
      <c r="B624">
        <f>FIND(",",A624)</f>
        <v>6</v>
      </c>
      <c r="C624" t="str">
        <f>MID(A624,B624+1,LEN(A624)-B624)</f>
        <v>http://ott.mobaibox.com/PLTV/4/224/3221227543/index.m3u8</v>
      </c>
      <c r="D624" t="str">
        <f>LEFT(A624,B624-1)</f>
        <v>CCTV2</v>
      </c>
    </row>
    <row r="625" spans="1:4" x14ac:dyDescent="0.25">
      <c r="A625" t="s">
        <v>1679</v>
      </c>
      <c r="B625">
        <f>FIND(",",A625)</f>
        <v>5</v>
      </c>
      <c r="C625" t="str">
        <f>MID(A625,B625+1,LEN(A625)-B625)</f>
        <v>http://ott.mobaibox.com/PLTV/4/224/3221227544/index.m3u8</v>
      </c>
      <c r="D625" t="str">
        <f>LEFT(A625,B625-1)</f>
        <v>军事评论</v>
      </c>
    </row>
    <row r="626" spans="1:4" x14ac:dyDescent="0.25">
      <c r="A626" t="s">
        <v>1533</v>
      </c>
      <c r="B626">
        <f>FIND(",",A626)</f>
        <v>5</v>
      </c>
      <c r="C626" t="str">
        <f>MID(A626,B626+1,LEN(A626)-B626)</f>
        <v>http://ott.mobaibox.com/PLTV/4/224/3221227545/index.m3u8</v>
      </c>
      <c r="D626" t="str">
        <f>LEFT(A626,B626-1)</f>
        <v>河北卫视</v>
      </c>
    </row>
    <row r="627" spans="1:4" x14ac:dyDescent="0.25">
      <c r="A627" t="s">
        <v>1303</v>
      </c>
      <c r="B627">
        <f>FIND(",",A627)</f>
        <v>6</v>
      </c>
      <c r="C627" t="str">
        <f>MID(A627,B627+1,LEN(A627)-B627)</f>
        <v>http://ott.mobaibox.com/PLTV/4/224/3221227546/index.m3u8</v>
      </c>
      <c r="D627" t="str">
        <f>LEFT(A627,B627-1)</f>
        <v>CCTV3</v>
      </c>
    </row>
    <row r="628" spans="1:4" x14ac:dyDescent="0.25">
      <c r="A628" t="s">
        <v>1688</v>
      </c>
      <c r="B628">
        <f>FIND(",",A628)</f>
        <v>5</v>
      </c>
      <c r="C628" t="str">
        <f>MID(A628,B628+1,LEN(A628)-B628)</f>
        <v>http://ott.mobaibox.com/PLTV/4/224/3221227547/index.m3u8</v>
      </c>
      <c r="D628" t="str">
        <f>LEFT(A628,B628-1)</f>
        <v>精品纪录</v>
      </c>
    </row>
    <row r="629" spans="1:4" x14ac:dyDescent="0.25">
      <c r="A629" t="s">
        <v>1680</v>
      </c>
      <c r="B629">
        <f>FIND(",",A629)</f>
        <v>5</v>
      </c>
      <c r="C629" t="str">
        <f>MID(A629,B629+1,LEN(A629)-B629)</f>
        <v>http://ott.mobaibox.com/PLTV/4/224/3221227548/index.m3u8</v>
      </c>
      <c r="D629" t="str">
        <f>LEFT(A629,B629-1)</f>
        <v>爱情喜剧</v>
      </c>
    </row>
    <row r="630" spans="1:4" x14ac:dyDescent="0.25">
      <c r="A630" t="s">
        <v>1314</v>
      </c>
      <c r="B630">
        <f>FIND(",",A630)</f>
        <v>6</v>
      </c>
      <c r="C630" t="str">
        <f>MID(A630,B630+1,LEN(A630)-B630)</f>
        <v>http://ott.mobaibox.com/PLTV/4/224/3221227549/index.m3u8</v>
      </c>
      <c r="D630" t="str">
        <f>LEFT(A630,B630-1)</f>
        <v>CCTV4</v>
      </c>
    </row>
    <row r="631" spans="1:4" x14ac:dyDescent="0.25">
      <c r="A631" t="s">
        <v>1616</v>
      </c>
      <c r="B631">
        <f>FIND(",",A631)</f>
        <v>5</v>
      </c>
      <c r="C631" t="str">
        <f>MID(A631,B631+1,LEN(A631)-B631)</f>
        <v>http://ott.mobaibox.com/PLTV/4/224/3221227550/index.m3u8</v>
      </c>
      <c r="D631" t="str">
        <f>LEFT(A631,B631-1)</f>
        <v>重庆卫视</v>
      </c>
    </row>
    <row r="632" spans="1:4" x14ac:dyDescent="0.25">
      <c r="A632" t="s">
        <v>1528</v>
      </c>
      <c r="B632">
        <f>FIND(",",A632)</f>
        <v>5</v>
      </c>
      <c r="C632" t="str">
        <f>MID(A632,B632+1,LEN(A632)-B632)</f>
        <v>http://ott.mobaibox.com/PLTV/4/224/3221227551/index.m3u8</v>
      </c>
      <c r="D632" t="str">
        <f>LEFT(A632,B632-1)</f>
        <v>贵州卫视</v>
      </c>
    </row>
    <row r="633" spans="1:4" x14ac:dyDescent="0.25">
      <c r="A633" t="s">
        <v>1448</v>
      </c>
      <c r="B633">
        <f>FIND(",",A633)</f>
        <v>5</v>
      </c>
      <c r="C633" t="str">
        <f>MID(A633,B633+1,LEN(A633)-B633)</f>
        <v>http://ott.mobaibox.com/PLTV/4/224/3221227552/index.m3u8</v>
      </c>
      <c r="D633" t="str">
        <f>LEFT(A633,B633-1)</f>
        <v>江苏卫视</v>
      </c>
    </row>
    <row r="634" spans="1:4" x14ac:dyDescent="0.25">
      <c r="A634" t="s">
        <v>1511</v>
      </c>
      <c r="B634">
        <f>FIND(",",A634)</f>
        <v>5</v>
      </c>
      <c r="C634" t="str">
        <f>MID(A634,B634+1,LEN(A634)-B634)</f>
        <v>http://ott.mobaibox.com/PLTV/4/224/3221227553/index.m3u8</v>
      </c>
      <c r="D634" t="str">
        <f>LEFT(A634,B634-1)</f>
        <v>东南卫视</v>
      </c>
    </row>
    <row r="635" spans="1:4" x14ac:dyDescent="0.25">
      <c r="A635" t="s">
        <v>1573</v>
      </c>
      <c r="B635">
        <f>FIND(",",A635)</f>
        <v>5</v>
      </c>
      <c r="C635" t="str">
        <f>MID(A635,B635+1,LEN(A635)-B635)</f>
        <v>http://ott.mobaibox.com/PLTV/4/224/3221227554/index.m3u8</v>
      </c>
      <c r="D635" t="str">
        <f>LEFT(A635,B635-1)</f>
        <v>青海卫视</v>
      </c>
    </row>
    <row r="636" spans="1:4" x14ac:dyDescent="0.25">
      <c r="A636" t="s">
        <v>1592</v>
      </c>
      <c r="B636">
        <f>FIND(",",A636)</f>
        <v>5</v>
      </c>
      <c r="C636" t="str">
        <f>MID(A636,B636+1,LEN(A636)-B636)</f>
        <v>http://ott.mobaibox.com/PLTV/4/224/3221227555/index.m3u8</v>
      </c>
      <c r="D636" t="str">
        <f>LEFT(A636,B636-1)</f>
        <v>深圳卫视</v>
      </c>
    </row>
    <row r="637" spans="1:4" x14ac:dyDescent="0.25">
      <c r="A637" t="s">
        <v>1599</v>
      </c>
      <c r="B637">
        <f>FIND(",",A637)</f>
        <v>5</v>
      </c>
      <c r="C637" t="str">
        <f>MID(A637,B637+1,LEN(A637)-B637)</f>
        <v>http://ott.mobaibox.com/PLTV/4/224/3221227556/index.m3u8</v>
      </c>
      <c r="D637" t="str">
        <f>LEFT(A637,B637-1)</f>
        <v>四川卫视</v>
      </c>
    </row>
    <row r="638" spans="1:4" x14ac:dyDescent="0.25">
      <c r="A638" t="s">
        <v>1482</v>
      </c>
      <c r="B638">
        <f>FIND(",",A638)</f>
        <v>5</v>
      </c>
      <c r="C638" t="str">
        <f>MID(A638,B638+1,LEN(A638)-B638)</f>
        <v>http://ott.mobaibox.com/PLTV/4/224/3221227558/index.m3u8</v>
      </c>
      <c r="D638" t="str">
        <f>LEFT(A638,B638-1)</f>
        <v>安徽卫视</v>
      </c>
    </row>
    <row r="639" spans="1:4" x14ac:dyDescent="0.25">
      <c r="A639" t="s">
        <v>1550</v>
      </c>
      <c r="B639">
        <f>FIND(",",A639)</f>
        <v>5</v>
      </c>
      <c r="C639" t="str">
        <f>MID(A639,B639+1,LEN(A639)-B639)</f>
        <v>http://ott.mobaibox.com/PLTV/4/224/3221227565/index.m3u8</v>
      </c>
      <c r="D639" t="str">
        <f>LEFT(A639,B639-1)</f>
        <v>湖北卫视</v>
      </c>
    </row>
    <row r="640" spans="1:4" x14ac:dyDescent="0.25">
      <c r="A640" t="s">
        <v>1513</v>
      </c>
      <c r="B640">
        <f>FIND(",",A640)</f>
        <v>5</v>
      </c>
      <c r="C640" t="str">
        <f>MID(A640,B640+1,LEN(A640)-B640)</f>
        <v>http://ott.mobaibox.com/PLTV/4/224/3221227568/index.m3u8</v>
      </c>
      <c r="D640" t="str">
        <f>LEFT(A640,B640-1)</f>
        <v>甘肃卫视</v>
      </c>
    </row>
    <row r="641" spans="1:4" x14ac:dyDescent="0.25">
      <c r="A641" t="s">
        <v>1876</v>
      </c>
      <c r="B641">
        <f>FIND(",",A641)</f>
        <v>8</v>
      </c>
      <c r="C641" t="str">
        <f>MID(A641,B641+1,LEN(A641)-B641)</f>
        <v>http://ott.mobaibox.com/PLTV/4/224/3221227570/index.m3u8</v>
      </c>
      <c r="D641" t="str">
        <f>LEFT(A641,B641-1)</f>
        <v>购物-7570</v>
      </c>
    </row>
    <row r="642" spans="1:4" x14ac:dyDescent="0.25">
      <c r="A642" t="s">
        <v>1614</v>
      </c>
      <c r="B642">
        <f>FIND(",",A642)</f>
        <v>5</v>
      </c>
      <c r="C642" t="str">
        <f>MID(A642,B642+1,LEN(A642)-B642)</f>
        <v>http://ott.mobaibox.com/PLTV/4/224/3221227571/index.m3u8</v>
      </c>
      <c r="D642" t="str">
        <f>LEFT(A642,B642-1)</f>
        <v>云南卫视</v>
      </c>
    </row>
    <row r="643" spans="1:4" x14ac:dyDescent="0.25">
      <c r="A643" t="s">
        <v>1745</v>
      </c>
      <c r="B643">
        <f>FIND(",",A643)</f>
        <v>5</v>
      </c>
      <c r="C643" t="str">
        <f>MID(A643,B643+1,LEN(A643)-B643)</f>
        <v>http://ott.mobaibox.com/PLTV/4/224/3221227576/index.m3u8</v>
      </c>
      <c r="D643" t="str">
        <f>LEFT(A643,B643-1)</f>
        <v>邳州综合</v>
      </c>
    </row>
    <row r="644" spans="1:4" x14ac:dyDescent="0.25">
      <c r="A644" t="s">
        <v>1419</v>
      </c>
      <c r="B644">
        <f>FIND(",",A644)</f>
        <v>7</v>
      </c>
      <c r="C644" t="str">
        <f>MID(A644,B644+1,LEN(A644)-B644)</f>
        <v>http://ott.mobaibox.com/PLTV/4/224/3221227578/index.m3u8</v>
      </c>
      <c r="D644" t="str">
        <f>LEFT(A644,B644-1)</f>
        <v>CCTV17</v>
      </c>
    </row>
    <row r="645" spans="1:4" x14ac:dyDescent="0.25">
      <c r="A645" t="s">
        <v>1797</v>
      </c>
      <c r="B645">
        <f>FIND(",",A645)</f>
        <v>9</v>
      </c>
      <c r="C645" t="str">
        <f>MID(A645,B645+1,LEN(A645)-B645)</f>
        <v>http://ott.mobaibox.com/PLTV/4/224/3221227579/index.m3u8</v>
      </c>
      <c r="D645" t="str">
        <f>LEFT(A645,B645-1)</f>
        <v>电视剧-7579</v>
      </c>
    </row>
    <row r="646" spans="1:4" x14ac:dyDescent="0.25">
      <c r="A646" t="s">
        <v>1350</v>
      </c>
      <c r="B646">
        <f>FIND(",",A646)</f>
        <v>6</v>
      </c>
      <c r="C646" t="str">
        <f>MID(A646,B646+1,LEN(A646)-B646)</f>
        <v>http://ott.mobaibox.com/PLTV/4/224/3221227581/index.m3u8</v>
      </c>
      <c r="D646" t="str">
        <f>LEFT(A646,B646-1)</f>
        <v>CCTV6</v>
      </c>
    </row>
    <row r="647" spans="1:4" x14ac:dyDescent="0.25">
      <c r="A647" t="s">
        <v>1449</v>
      </c>
      <c r="B647">
        <f>FIND(",",A647)</f>
        <v>5</v>
      </c>
      <c r="C647" t="str">
        <f>MID(A647,B647+1,LEN(A647)-B647)</f>
        <v>http://ott.mobaibox.com/PLTV/4/224/3221227582/index.m3u8</v>
      </c>
      <c r="D647" t="str">
        <f>LEFT(A647,B647-1)</f>
        <v>江苏卫视</v>
      </c>
    </row>
    <row r="648" spans="1:4" x14ac:dyDescent="0.25">
      <c r="A648" t="s">
        <v>1450</v>
      </c>
      <c r="B648">
        <f>FIND(",",A648)</f>
        <v>5</v>
      </c>
      <c r="C648" t="str">
        <f>MID(A648,B648+1,LEN(A648)-B648)</f>
        <v>http://ott.mobaibox.com/PLTV/4/224/3221227585/index.m3u8</v>
      </c>
      <c r="D648" t="str">
        <f>LEFT(A648,B648-1)</f>
        <v>江苏卫视</v>
      </c>
    </row>
    <row r="649" spans="1:4" x14ac:dyDescent="0.25">
      <c r="A649" t="s">
        <v>1681</v>
      </c>
      <c r="B649">
        <f>FIND(",",A649)</f>
        <v>5</v>
      </c>
      <c r="C649" t="str">
        <f>MID(A649,B649+1,LEN(A649)-B649)</f>
        <v>http://ott.mobaibox.com/PLTV/4/224/3221227588/index.m3u8</v>
      </c>
      <c r="D649" t="str">
        <f>LEFT(A649,B649-1)</f>
        <v>农业致富</v>
      </c>
    </row>
    <row r="650" spans="1:4" x14ac:dyDescent="0.25">
      <c r="A650" t="s">
        <v>1420</v>
      </c>
      <c r="B650">
        <f>FIND(",",A650)</f>
        <v>7</v>
      </c>
      <c r="C650" t="str">
        <f>MID(A650,B650+1,LEN(A650)-B650)</f>
        <v>http://ott.mobaibox.com/PLTV/4/224/3221227589/index.m3u8</v>
      </c>
      <c r="D650" t="str">
        <f>LEFT(A650,B650-1)</f>
        <v>CCTV17</v>
      </c>
    </row>
    <row r="651" spans="1:4" x14ac:dyDescent="0.25">
      <c r="A651" t="s">
        <v>1519</v>
      </c>
      <c r="B651">
        <f>FIND(",",A651)</f>
        <v>5</v>
      </c>
      <c r="C651" t="str">
        <f>MID(A651,B651+1,LEN(A651)-B651)</f>
        <v>http://ott.mobaibox.com/PLTV/4/224/3221227591/index.m3u8</v>
      </c>
      <c r="D651" t="str">
        <f>LEFT(A651,B651-1)</f>
        <v>广东卫视</v>
      </c>
    </row>
    <row r="652" spans="1:4" x14ac:dyDescent="0.25">
      <c r="A652" t="s">
        <v>1421</v>
      </c>
      <c r="B652">
        <f>FIND(",",A652)</f>
        <v>7</v>
      </c>
      <c r="C652" t="str">
        <f>MID(A652,B652+1,LEN(A652)-B652)</f>
        <v>http://ott.mobaibox.com/PLTV/4/224/3221227592/index.m3u8</v>
      </c>
      <c r="D652" t="str">
        <f>LEFT(A652,B652-1)</f>
        <v>CCTV17</v>
      </c>
    </row>
    <row r="653" spans="1:4" x14ac:dyDescent="0.25">
      <c r="A653" t="s">
        <v>1685</v>
      </c>
      <c r="B653">
        <f>FIND(",",A653)</f>
        <v>5</v>
      </c>
      <c r="C653" t="str">
        <f>MID(A653,B653+1,LEN(A653)-B653)</f>
        <v>http://ott.mobaibox.com/PLTV/4/224/3221227594/index.m3u8</v>
      </c>
      <c r="D653" t="str">
        <f>LEFT(A653,B653-1)</f>
        <v>明星大片</v>
      </c>
    </row>
    <row r="654" spans="1:4" x14ac:dyDescent="0.25">
      <c r="A654" t="s">
        <v>1505</v>
      </c>
      <c r="B654">
        <f>FIND(",",A654)</f>
        <v>5</v>
      </c>
      <c r="C654" t="str">
        <f>MID(A654,B654+1,LEN(A654)-B654)</f>
        <v>http://ott.mobaibox.com/PLTV/4/224/3221227597/index.m3u8</v>
      </c>
      <c r="D654" t="str">
        <f>LEFT(A654,B654-1)</f>
        <v>东方卫视</v>
      </c>
    </row>
    <row r="655" spans="1:4" x14ac:dyDescent="0.25">
      <c r="A655" t="s">
        <v>1684</v>
      </c>
      <c r="B655">
        <f>FIND(",",A655)</f>
        <v>5</v>
      </c>
      <c r="C655" t="str">
        <f>MID(A655,B655+1,LEN(A655)-B655)</f>
        <v>http://ott.mobaibox.com/PLTV/4/224/3221227600/index.m3u8</v>
      </c>
      <c r="D655" t="str">
        <f>LEFT(A655,B655-1)</f>
        <v>家庭剧场</v>
      </c>
    </row>
    <row r="656" spans="1:4" x14ac:dyDescent="0.25">
      <c r="A656" t="s">
        <v>1683</v>
      </c>
      <c r="B656">
        <f>FIND(",",A656)</f>
        <v>5</v>
      </c>
      <c r="C656" t="str">
        <f>MID(A656,B656+1,LEN(A656)-B656)</f>
        <v>http://ott.mobaibox.com/PLTV/4/224/3221227603/index.m3u8</v>
      </c>
      <c r="D656" t="str">
        <f>LEFT(A656,B656-1)</f>
        <v>军旅剧场</v>
      </c>
    </row>
    <row r="657" spans="1:4" x14ac:dyDescent="0.25">
      <c r="A657" t="s">
        <v>1682</v>
      </c>
      <c r="B657">
        <f>FIND(",",A657)</f>
        <v>5</v>
      </c>
      <c r="C657" t="str">
        <f>MID(A657,B657+1,LEN(A657)-B657)</f>
        <v>http://ott.mobaibox.com/PLTV/4/224/3221227606/index.m3u8</v>
      </c>
      <c r="D657" t="str">
        <f>LEFT(A657,B657-1)</f>
        <v>动作电影</v>
      </c>
    </row>
    <row r="658" spans="1:4" x14ac:dyDescent="0.25">
      <c r="A658" t="s">
        <v>1740</v>
      </c>
      <c r="B658">
        <f>FIND(",",A658)</f>
        <v>5</v>
      </c>
      <c r="C658" t="str">
        <f>MID(A658,B658+1,LEN(A658)-B658)</f>
        <v>http://ott.mobaibox.com/PLTV/4/224/3221227611/index.m3u8</v>
      </c>
      <c r="D658" t="str">
        <f>LEFT(A658,B658-1)</f>
        <v>沛县经济</v>
      </c>
    </row>
    <row r="659" spans="1:4" x14ac:dyDescent="0.25">
      <c r="A659" t="s">
        <v>1690</v>
      </c>
      <c r="B659">
        <f>FIND(",",A659)</f>
        <v>5</v>
      </c>
      <c r="C659" t="str">
        <f>MID(A659,B659+1,LEN(A659)-B659)</f>
        <v>http://ott.mobaibox.com/PLTV/4/224/3221227612/index.m3u8</v>
      </c>
      <c r="D659" t="str">
        <f>LEFT(A659,B659-1)</f>
        <v>怡伴健康</v>
      </c>
    </row>
    <row r="660" spans="1:4" x14ac:dyDescent="0.25">
      <c r="A660" t="s">
        <v>1376</v>
      </c>
      <c r="B660">
        <f>FIND(",",A660)</f>
        <v>6</v>
      </c>
      <c r="C660" t="str">
        <f>MID(A660,B660+1,LEN(A660)-B660)</f>
        <v>http://ott.mobaibox.com/PLTV/4/224/3221227614/index.m3u8</v>
      </c>
      <c r="D660" t="str">
        <f>LEFT(A660,B660-1)</f>
        <v>CCTV9</v>
      </c>
    </row>
    <row r="661" spans="1:4" x14ac:dyDescent="0.25">
      <c r="A661" t="s">
        <v>1686</v>
      </c>
      <c r="B661">
        <f>FIND(",",A661)</f>
        <v>5</v>
      </c>
      <c r="C661" t="str">
        <f>MID(A661,B661+1,LEN(A661)-B661)</f>
        <v>http://ott.mobaibox.com/PLTV/4/224/3221227615/index.m3u8</v>
      </c>
      <c r="D661" t="str">
        <f>LEFT(A661,B661-1)</f>
        <v>精品体育</v>
      </c>
    </row>
    <row r="662" spans="1:4" x14ac:dyDescent="0.25">
      <c r="A662" t="s">
        <v>1324</v>
      </c>
      <c r="B662">
        <f>FIND(",",A662)</f>
        <v>6</v>
      </c>
      <c r="C662" t="str">
        <f>MID(A662,B662+1,LEN(A662)-B662)</f>
        <v>http://ott.mobaibox.com/PLTV/4/224/3221227617/index.m3u8</v>
      </c>
      <c r="D662" t="str">
        <f>LEFT(A662,B662-1)</f>
        <v>CCTV5</v>
      </c>
    </row>
    <row r="663" spans="1:4" x14ac:dyDescent="0.25">
      <c r="A663" t="s">
        <v>1687</v>
      </c>
      <c r="B663">
        <f>FIND(",",A663)</f>
        <v>5</v>
      </c>
      <c r="C663" t="str">
        <f>MID(A663,B663+1,LEN(A663)-B663)</f>
        <v>http://ott.mobaibox.com/PLTV/4/224/3221227618/index.m3u8</v>
      </c>
      <c r="D663" t="str">
        <f>LEFT(A663,B663-1)</f>
        <v>精品大剧</v>
      </c>
    </row>
    <row r="664" spans="1:4" x14ac:dyDescent="0.25">
      <c r="A664" t="s">
        <v>1383</v>
      </c>
      <c r="B664">
        <f>FIND(",",A664)</f>
        <v>7</v>
      </c>
      <c r="C664" t="str">
        <f>MID(A664,B664+1,LEN(A664)-B664)</f>
        <v>http://ott.mobaibox.com/PLTV/4/224/3221227620/index.m3u8</v>
      </c>
      <c r="D664" t="str">
        <f>LEFT(A664,B664-1)</f>
        <v>CCTV10</v>
      </c>
    </row>
    <row r="665" spans="1:4" x14ac:dyDescent="0.25">
      <c r="A665" t="s">
        <v>1580</v>
      </c>
      <c r="B665">
        <f>FIND(",",A665)</f>
        <v>5</v>
      </c>
      <c r="C665" t="str">
        <f>MID(A665,B665+1,LEN(A665)-B665)</f>
        <v>http://ott.mobaibox.com/PLTV/4/224/3221227621/index.m3u8</v>
      </c>
      <c r="D665" t="str">
        <f>LEFT(A665,B665-1)</f>
        <v>山东卫视</v>
      </c>
    </row>
    <row r="666" spans="1:4" x14ac:dyDescent="0.25">
      <c r="A666" t="s">
        <v>1304</v>
      </c>
      <c r="B666">
        <f>FIND(",",A666)</f>
        <v>6</v>
      </c>
      <c r="C666" t="str">
        <f>MID(A666,B666+1,LEN(A666)-B666)</f>
        <v>http://ott.mobaibox.com/PLTV/4/224/3221227623/index.m3u8</v>
      </c>
      <c r="D666" t="str">
        <f>LEFT(A666,B666-1)</f>
        <v>CCTV3</v>
      </c>
    </row>
    <row r="667" spans="1:4" x14ac:dyDescent="0.25">
      <c r="A667" t="s">
        <v>1593</v>
      </c>
      <c r="B667">
        <f>FIND(",",A667)</f>
        <v>5</v>
      </c>
      <c r="C667" t="str">
        <f>MID(A667,B667+1,LEN(A667)-B667)</f>
        <v>http://ott.mobaibox.com/PLTV/4/224/3221227624/index.m3u8</v>
      </c>
      <c r="D667" t="str">
        <f>LEFT(A667,B667-1)</f>
        <v>深圳卫视</v>
      </c>
    </row>
    <row r="668" spans="1:4" x14ac:dyDescent="0.25">
      <c r="A668" t="s">
        <v>1359</v>
      </c>
      <c r="B668">
        <f>FIND(",",A668)</f>
        <v>6</v>
      </c>
      <c r="C668" t="str">
        <f>MID(A668,B668+1,LEN(A668)-B668)</f>
        <v>http://ott.mobaibox.com/PLTV/4/224/3221227626/index.m3u8</v>
      </c>
      <c r="D668" t="str">
        <f>LEFT(A668,B668-1)</f>
        <v>CCTV7</v>
      </c>
    </row>
    <row r="669" spans="1:4" x14ac:dyDescent="0.25">
      <c r="A669" t="s">
        <v>1367</v>
      </c>
      <c r="B669">
        <f>FIND(",",A669)</f>
        <v>6</v>
      </c>
      <c r="C669" t="str">
        <f>MID(A669,B669+1,LEN(A669)-B669)</f>
        <v>http://ott.mobaibox.com/PLTV/4/224/3221227629/index.m3u8</v>
      </c>
      <c r="D669" t="str">
        <f>LEFT(A669,B669-1)</f>
        <v>CCTV8</v>
      </c>
    </row>
    <row r="670" spans="1:4" x14ac:dyDescent="0.25">
      <c r="A670" t="s">
        <v>1337</v>
      </c>
      <c r="B670">
        <f>FIND(",",A670)</f>
        <v>7</v>
      </c>
      <c r="C670" t="str">
        <f>MID(A670,B670+1,LEN(A670)-B670)</f>
        <v>http://ott.mobaibox.com/PLTV/4/224/3221227631/index.m3u8</v>
      </c>
      <c r="D670" t="str">
        <f>LEFT(A670,B670-1)</f>
        <v>CCTV5+</v>
      </c>
    </row>
    <row r="671" spans="1:4" x14ac:dyDescent="0.25">
      <c r="A671" t="s">
        <v>1617</v>
      </c>
      <c r="B671">
        <f>FIND(",",A671)</f>
        <v>5</v>
      </c>
      <c r="C671" t="str">
        <f>MID(A671,B671+1,LEN(A671)-B671)</f>
        <v>http://ott.mobaibox.com/PLTV/4/224/3221227632/index.m3u8</v>
      </c>
      <c r="D671" t="str">
        <f>LEFT(A671,B671-1)</f>
        <v>重庆卫视</v>
      </c>
    </row>
    <row r="672" spans="1:4" x14ac:dyDescent="0.25">
      <c r="A672" t="s">
        <v>1606</v>
      </c>
      <c r="B672">
        <f>FIND(",",A672)</f>
        <v>5</v>
      </c>
      <c r="C672" t="str">
        <f>MID(A672,B672+1,LEN(A672)-B672)</f>
        <v>http://ott.mobaibox.com/PLTV/4/224/3221227633/index.m3u8</v>
      </c>
      <c r="D672" t="str">
        <f>LEFT(A672,B672-1)</f>
        <v>天津卫视</v>
      </c>
    </row>
    <row r="673" spans="1:4" x14ac:dyDescent="0.25">
      <c r="A673" t="s">
        <v>1277</v>
      </c>
      <c r="B673">
        <f>FIND(",",A673)</f>
        <v>6</v>
      </c>
      <c r="C673" t="str">
        <f>MID(A673,B673+1,LEN(A673)-B673)</f>
        <v>http://ott.mobaibox.com/PLTV/4/224/3221227634/index.m3u8</v>
      </c>
      <c r="D673" t="str">
        <f>LEFT(A673,B673-1)</f>
        <v>CCTV1</v>
      </c>
    </row>
    <row r="674" spans="1:4" x14ac:dyDescent="0.25">
      <c r="A674" t="s">
        <v>1391</v>
      </c>
      <c r="B674">
        <f>FIND(",",A674)</f>
        <v>7</v>
      </c>
      <c r="C674" t="str">
        <f>MID(A674,B674+1,LEN(A674)-B674)</f>
        <v>http://ott.mobaibox.com/PLTV/4/224/3221227637/index.m3u8</v>
      </c>
      <c r="D674" t="str">
        <f>LEFT(A674,B674-1)</f>
        <v>CCTV12</v>
      </c>
    </row>
    <row r="675" spans="1:4" x14ac:dyDescent="0.25">
      <c r="A675" t="s">
        <v>1541</v>
      </c>
      <c r="B675">
        <f>FIND(",",A675)</f>
        <v>6</v>
      </c>
      <c r="C675" t="str">
        <f>MID(A675,B675+1,LEN(A675)-B675)</f>
        <v>http://ott.mobaibox.com/PLTV/4/224/3221227638/index.m3u8</v>
      </c>
      <c r="D675" t="str">
        <f>LEFT(A675,B675-1)</f>
        <v>黑龙江卫视</v>
      </c>
    </row>
    <row r="676" spans="1:4" x14ac:dyDescent="0.25">
      <c r="A676" t="s">
        <v>1325</v>
      </c>
      <c r="B676">
        <f>FIND(",",A676)</f>
        <v>6</v>
      </c>
      <c r="C676" t="str">
        <f>MID(A676,B676+1,LEN(A676)-B676)</f>
        <v>http://ott.mobaibox.com/PLTV/4/224/3221227640/index.m3u8</v>
      </c>
      <c r="D676" t="str">
        <f>LEFT(A676,B676-1)</f>
        <v>CCTV5</v>
      </c>
    </row>
    <row r="677" spans="1:4" x14ac:dyDescent="0.25">
      <c r="A677" t="s">
        <v>1278</v>
      </c>
      <c r="B677">
        <f>FIND(",",A677)</f>
        <v>6</v>
      </c>
      <c r="C677" t="str">
        <f>MID(A677,B677+1,LEN(A677)-B677)</f>
        <v>http://ott.mobaibox.com/PLTV/4/224/3221227641/index.m3u8</v>
      </c>
      <c r="D677" t="str">
        <f>LEFT(A677,B677-1)</f>
        <v>CCTV1</v>
      </c>
    </row>
    <row r="678" spans="1:4" x14ac:dyDescent="0.25">
      <c r="A678" t="s">
        <v>1360</v>
      </c>
      <c r="B678">
        <f>FIND(",",A678)</f>
        <v>6</v>
      </c>
      <c r="C678" t="str">
        <f>MID(A678,B678+1,LEN(A678)-B678)</f>
        <v>http://ott.mobaibox.com/PLTV/4/224/3221227642/index.m3u8</v>
      </c>
      <c r="D678" t="str">
        <f>LEFT(A678,B678-1)</f>
        <v>CCTV7</v>
      </c>
    </row>
    <row r="679" spans="1:4" x14ac:dyDescent="0.25">
      <c r="A679" t="s">
        <v>1483</v>
      </c>
      <c r="B679">
        <f>FIND(",",A679)</f>
        <v>5</v>
      </c>
      <c r="C679" t="str">
        <f>MID(A679,B679+1,LEN(A679)-B679)</f>
        <v>http://ott.mobaibox.com/PLTV/4/224/3221227643/index.m3u8</v>
      </c>
      <c r="D679" t="str">
        <f>LEFT(A679,B679-1)</f>
        <v>安徽卫视</v>
      </c>
    </row>
    <row r="680" spans="1:4" x14ac:dyDescent="0.25">
      <c r="A680" t="s">
        <v>1279</v>
      </c>
      <c r="B680">
        <f>FIND(",",A680)</f>
        <v>6</v>
      </c>
      <c r="C680" t="str">
        <f>MID(A680,B680+1,LEN(A680)-B680)</f>
        <v>http://ott.mobaibox.com/PLTV/4/224/3221227644/index.m3u8</v>
      </c>
      <c r="D680" t="str">
        <f>LEFT(A680,B680-1)</f>
        <v>CCTV1</v>
      </c>
    </row>
    <row r="681" spans="1:4" x14ac:dyDescent="0.25">
      <c r="A681" t="s">
        <v>1305</v>
      </c>
      <c r="B681">
        <f>FIND(",",A681)</f>
        <v>6</v>
      </c>
      <c r="C681" t="str">
        <f>MID(A681,B681+1,LEN(A681)-B681)</f>
        <v>http://ott.mobaibox.com/PLTV/4/224/3221227650/index.m3u8</v>
      </c>
      <c r="D681" t="str">
        <f>LEFT(A681,B681-1)</f>
        <v>CCTV3</v>
      </c>
    </row>
    <row r="682" spans="1:4" x14ac:dyDescent="0.25">
      <c r="A682" t="s">
        <v>1493</v>
      </c>
      <c r="B682">
        <f>FIND(",",A682)</f>
        <v>5</v>
      </c>
      <c r="C682" t="str">
        <f>MID(A682,B682+1,LEN(A682)-B682)</f>
        <v>http://ott.mobaibox.com/PLTV/4/224/3221227652/index.m3u8</v>
      </c>
      <c r="D682" t="str">
        <f>LEFT(A682,B682-1)</f>
        <v>北京卫视</v>
      </c>
    </row>
    <row r="683" spans="1:4" x14ac:dyDescent="0.25">
      <c r="A683" t="s">
        <v>1484</v>
      </c>
      <c r="B683">
        <f>FIND(",",A683)</f>
        <v>5</v>
      </c>
      <c r="C683" t="str">
        <f>MID(A683,B683+1,LEN(A683)-B683)</f>
        <v>http://ott.mobaibox.com/PLTV/4/224/3221227653/index.m3u8</v>
      </c>
      <c r="D683" t="str">
        <f>LEFT(A683,B683-1)</f>
        <v>安徽卫视</v>
      </c>
    </row>
    <row r="684" spans="1:4" x14ac:dyDescent="0.25">
      <c r="A684" t="s">
        <v>1392</v>
      </c>
      <c r="B684">
        <f>FIND(",",A684)</f>
        <v>7</v>
      </c>
      <c r="C684" t="str">
        <f>MID(A684,B684+1,LEN(A684)-B684)</f>
        <v>http://ott.mobaibox.com/PLTV/4/224/3221227655/index.m3u8</v>
      </c>
      <c r="D684" t="str">
        <f>LEFT(A684,B684-1)</f>
        <v>CCTV12</v>
      </c>
    </row>
    <row r="685" spans="1:4" x14ac:dyDescent="0.25">
      <c r="A685" t="s">
        <v>1405</v>
      </c>
      <c r="B685">
        <f>FIND(",",A685)</f>
        <v>7</v>
      </c>
      <c r="C685" t="str">
        <f>MID(A685,B685+1,LEN(A685)-B685)</f>
        <v>http://ott.mobaibox.com/PLTV/4/224/3221227656/index.m3u8</v>
      </c>
      <c r="D685" t="str">
        <f>LEFT(A685,B685-1)</f>
        <v>CCTV14</v>
      </c>
    </row>
    <row r="686" spans="1:4" x14ac:dyDescent="0.25">
      <c r="A686" t="s">
        <v>1315</v>
      </c>
      <c r="B686">
        <f>FIND(",",A686)</f>
        <v>6</v>
      </c>
      <c r="C686" t="str">
        <f>MID(A686,B686+1,LEN(A686)-B686)</f>
        <v>http://ott.mobaibox.com/PLTV/4/224/3221227658/index.m3u8</v>
      </c>
      <c r="D686" t="str">
        <f>LEFT(A686,B686-1)</f>
        <v>CCTV4</v>
      </c>
    </row>
    <row r="687" spans="1:4" x14ac:dyDescent="0.25">
      <c r="A687" t="s">
        <v>1377</v>
      </c>
      <c r="B687">
        <f>FIND(",",A687)</f>
        <v>6</v>
      </c>
      <c r="C687" t="str">
        <f>MID(A687,B687+1,LEN(A687)-B687)</f>
        <v>http://ott.mobaibox.com/PLTV/4/224/3221227659/index.m3u8</v>
      </c>
      <c r="D687" t="str">
        <f>LEFT(A687,B687-1)</f>
        <v>CCTV9</v>
      </c>
    </row>
    <row r="688" spans="1:4" x14ac:dyDescent="0.25">
      <c r="A688" t="s">
        <v>1326</v>
      </c>
      <c r="B688">
        <f>FIND(",",A688)</f>
        <v>6</v>
      </c>
      <c r="C688" t="str">
        <f>MID(A688,B688+1,LEN(A688)-B688)</f>
        <v>http://ott.mobaibox.com/PLTV/4/224/3221227661/index.m3u8</v>
      </c>
      <c r="D688" t="str">
        <f>LEFT(A688,B688-1)</f>
        <v>CCTV5</v>
      </c>
    </row>
    <row r="689" spans="1:4" x14ac:dyDescent="0.25">
      <c r="A689" t="s">
        <v>1542</v>
      </c>
      <c r="B689">
        <f>FIND(",",A689)</f>
        <v>6</v>
      </c>
      <c r="C689" t="str">
        <f>MID(A689,B689+1,LEN(A689)-B689)</f>
        <v>http://ott.mobaibox.com/PLTV/4/224/3221227662/index.m3u8</v>
      </c>
      <c r="D689" t="str">
        <f>LEFT(A689,B689-1)</f>
        <v>黑龙江卫视</v>
      </c>
    </row>
    <row r="690" spans="1:4" x14ac:dyDescent="0.25">
      <c r="A690" t="s">
        <v>1351</v>
      </c>
      <c r="B690">
        <f>FIND(",",A690)</f>
        <v>6</v>
      </c>
      <c r="C690" t="str">
        <f>MID(A690,B690+1,LEN(A690)-B690)</f>
        <v>http://ott.mobaibox.com/PLTV/4/224/3221227664/index.m3u8</v>
      </c>
      <c r="D690" t="str">
        <f>LEFT(A690,B690-1)</f>
        <v>CCTV6</v>
      </c>
    </row>
    <row r="691" spans="1:4" x14ac:dyDescent="0.25">
      <c r="A691" t="s">
        <v>1551</v>
      </c>
      <c r="B691">
        <f>FIND(",",A691)</f>
        <v>5</v>
      </c>
      <c r="C691" t="str">
        <f>MID(A691,B691+1,LEN(A691)-B691)</f>
        <v>http://ott.mobaibox.com/PLTV/4/224/3221227665/index.m3u8</v>
      </c>
      <c r="D691" t="str">
        <f>LEFT(A691,B691-1)</f>
        <v>湖北卫视</v>
      </c>
    </row>
    <row r="692" spans="1:4" x14ac:dyDescent="0.25">
      <c r="A692" t="s">
        <v>1368</v>
      </c>
      <c r="B692">
        <f>FIND(",",A692)</f>
        <v>6</v>
      </c>
      <c r="C692" t="str">
        <f>MID(A692,B692+1,LEN(A692)-B692)</f>
        <v>http://ott.mobaibox.com/PLTV/4/224/3221227667/index.m3u8</v>
      </c>
      <c r="D692" t="str">
        <f>LEFT(A692,B692-1)</f>
        <v>CCTV8</v>
      </c>
    </row>
    <row r="693" spans="1:4" x14ac:dyDescent="0.25">
      <c r="A693" t="s">
        <v>1451</v>
      </c>
      <c r="B693">
        <f>FIND(",",A693)</f>
        <v>5</v>
      </c>
      <c r="C693" t="str">
        <f>MID(A693,B693+1,LEN(A693)-B693)</f>
        <v>http://ott.mobaibox.com/PLTV/4/224/3221227668/index.m3u8</v>
      </c>
      <c r="D693" t="str">
        <f>LEFT(A693,B693-1)</f>
        <v>江苏卫视</v>
      </c>
    </row>
    <row r="694" spans="1:4" x14ac:dyDescent="0.25">
      <c r="A694" t="s">
        <v>1512</v>
      </c>
      <c r="B694">
        <f>FIND(",",A694)</f>
        <v>5</v>
      </c>
      <c r="C694" t="str">
        <f>MID(A694,B694+1,LEN(A694)-B694)</f>
        <v>http://ott.mobaibox.com/PLTV/4/224/3221227670/index.m3u8</v>
      </c>
      <c r="D694" t="str">
        <f>LEFT(A694,B694-1)</f>
        <v>东南卫视</v>
      </c>
    </row>
    <row r="695" spans="1:4" x14ac:dyDescent="0.25">
      <c r="A695" t="s">
        <v>1581</v>
      </c>
      <c r="B695">
        <f>FIND(",",A695)</f>
        <v>5</v>
      </c>
      <c r="C695" t="str">
        <f>MID(A695,B695+1,LEN(A695)-B695)</f>
        <v>http://ott.mobaibox.com/PLTV/4/224/3221227671/index.m3u8</v>
      </c>
      <c r="D695" t="str">
        <f>LEFT(A695,B695-1)</f>
        <v>山东卫视</v>
      </c>
    </row>
    <row r="696" spans="1:4" x14ac:dyDescent="0.25">
      <c r="A696" t="s">
        <v>1520</v>
      </c>
      <c r="B696">
        <f>FIND(",",A696)</f>
        <v>5</v>
      </c>
      <c r="C696" t="str">
        <f>MID(A696,B696+1,LEN(A696)-B696)</f>
        <v>http://ott.mobaibox.com/PLTV/4/224/3221227673/index.m3u8</v>
      </c>
      <c r="D696" t="str">
        <f>LEFT(A696,B696-1)</f>
        <v>广东卫视</v>
      </c>
    </row>
    <row r="697" spans="1:4" x14ac:dyDescent="0.25">
      <c r="A697" t="s">
        <v>1280</v>
      </c>
      <c r="B697">
        <f>FIND(",",A697)</f>
        <v>6</v>
      </c>
      <c r="C697" t="str">
        <f>MID(A697,B697+1,LEN(A697)-B697)</f>
        <v>http://ott.mobaibox.com/PLTV/4/224/3221227675/index.m3u8</v>
      </c>
      <c r="D697" t="str">
        <f>LEFT(A697,B697-1)</f>
        <v>CCTV1</v>
      </c>
    </row>
    <row r="698" spans="1:4" x14ac:dyDescent="0.25">
      <c r="A698" t="s">
        <v>1566</v>
      </c>
      <c r="B698">
        <f>FIND(",",A698)</f>
        <v>5</v>
      </c>
      <c r="C698" t="str">
        <f>MID(A698,B698+1,LEN(A698)-B698)</f>
        <v>http://ott.mobaibox.com/PLTV/4/224/3221227676/index.m3u8</v>
      </c>
      <c r="D698" t="str">
        <f>LEFT(A698,B698-1)</f>
        <v>辽宁卫视</v>
      </c>
    </row>
    <row r="699" spans="1:4" x14ac:dyDescent="0.25">
      <c r="A699" t="s">
        <v>1594</v>
      </c>
      <c r="B699">
        <f>FIND(",",A699)</f>
        <v>5</v>
      </c>
      <c r="C699" t="str">
        <f>MID(A699,B699+1,LEN(A699)-B699)</f>
        <v>http://ott.mobaibox.com/PLTV/4/224/3221227677/index.m3u8</v>
      </c>
      <c r="D699" t="str">
        <f>LEFT(A699,B699-1)</f>
        <v>深圳卫视</v>
      </c>
    </row>
    <row r="700" spans="1:4" x14ac:dyDescent="0.25">
      <c r="A700" t="s">
        <v>1739</v>
      </c>
      <c r="B700">
        <f>FIND(",",A700)</f>
        <v>5</v>
      </c>
      <c r="C700" t="str">
        <f>MID(A700,B700+1,LEN(A700)-B700)</f>
        <v>http://ott.mobaibox.com/PLTV/4/224/3221227678/index.m3u8</v>
      </c>
      <c r="D700" t="str">
        <f>LEFT(A700,B700-1)</f>
        <v>沛县新闻</v>
      </c>
    </row>
    <row r="701" spans="1:4" x14ac:dyDescent="0.25">
      <c r="A701" t="s">
        <v>1741</v>
      </c>
      <c r="B701">
        <f>FIND(",",A701)</f>
        <v>5</v>
      </c>
      <c r="C701" t="str">
        <f>MID(A701,B701+1,LEN(A701)-B701)</f>
        <v>http://ott.mobaibox.com/PLTV/4/224/3221227681/index.m3u8</v>
      </c>
      <c r="D701" t="str">
        <f>LEFT(A701,B701-1)</f>
        <v>沛县文艺</v>
      </c>
    </row>
    <row r="702" spans="1:4" x14ac:dyDescent="0.25">
      <c r="A702" t="s">
        <v>1316</v>
      </c>
      <c r="B702">
        <f>FIND(",",A702)</f>
        <v>6</v>
      </c>
      <c r="C702" t="str">
        <f>MID(A702,B702+1,LEN(A702)-B702)</f>
        <v>http://ott.mobaibox.com/PLTV/4/224/3221227683/index.m3u8</v>
      </c>
      <c r="D702" t="str">
        <f>LEFT(A702,B702-1)</f>
        <v>CCTV4</v>
      </c>
    </row>
    <row r="703" spans="1:4" x14ac:dyDescent="0.25">
      <c r="A703" t="s">
        <v>1338</v>
      </c>
      <c r="B703">
        <f>FIND(",",A703)</f>
        <v>7</v>
      </c>
      <c r="C703" t="str">
        <f>MID(A703,B703+1,LEN(A703)-B703)</f>
        <v>http://ott.mobaibox.com/PLTV/4/224/3221227685/index.m3u8</v>
      </c>
      <c r="D703" t="str">
        <f>LEFT(A703,B703-1)</f>
        <v>CCTV5+</v>
      </c>
    </row>
    <row r="704" spans="1:4" x14ac:dyDescent="0.25">
      <c r="A704" t="s">
        <v>1327</v>
      </c>
      <c r="B704">
        <f>FIND(",",A704)</f>
        <v>6</v>
      </c>
      <c r="C704" t="str">
        <f>MID(A704,B704+1,LEN(A704)-B704)</f>
        <v>http://ott.mobaibox.com/PLTV/4/224/3221227686/index.m3u8</v>
      </c>
      <c r="D704" t="str">
        <f>LEFT(A704,B704-1)</f>
        <v>CCTV5</v>
      </c>
    </row>
    <row r="705" spans="1:4" x14ac:dyDescent="0.25">
      <c r="A705" t="s">
        <v>1506</v>
      </c>
      <c r="B705">
        <f>FIND(",",A705)</f>
        <v>5</v>
      </c>
      <c r="C705" t="str">
        <f>MID(A705,B705+1,LEN(A705)-B705)</f>
        <v>http://ott.mobaibox.com/PLTV/4/224/3221227688/index.m3u8</v>
      </c>
      <c r="D705" t="str">
        <f>LEFT(A705,B705-1)</f>
        <v>东方卫视</v>
      </c>
    </row>
    <row r="706" spans="1:4" x14ac:dyDescent="0.25">
      <c r="A706" t="s">
        <v>1452</v>
      </c>
      <c r="B706">
        <f>FIND(",",A706)</f>
        <v>5</v>
      </c>
      <c r="C706" t="str">
        <f>MID(A706,B706+1,LEN(A706)-B706)</f>
        <v>http://ott.mobaibox.com/PLTV/4/224/3221227689/index.m3u8</v>
      </c>
      <c r="D706" t="str">
        <f>LEFT(A706,B706-1)</f>
        <v>江苏卫视</v>
      </c>
    </row>
    <row r="707" spans="1:4" x14ac:dyDescent="0.25">
      <c r="A707" t="s">
        <v>1521</v>
      </c>
      <c r="B707">
        <f>FIND(",",A707)</f>
        <v>5</v>
      </c>
      <c r="C707" t="str">
        <f>MID(A707,B707+1,LEN(A707)-B707)</f>
        <v>http://ott.mobaibox.com/PLTV/4/224/3221227691/index.m3u8</v>
      </c>
      <c r="D707" t="str">
        <f>LEFT(A707,B707-1)</f>
        <v>广东卫视</v>
      </c>
    </row>
    <row r="708" spans="1:4" x14ac:dyDescent="0.25">
      <c r="A708" t="s">
        <v>1475</v>
      </c>
      <c r="B708">
        <f>FIND(",",A708)</f>
        <v>5</v>
      </c>
      <c r="C708" t="str">
        <f>MID(A708,B708+1,LEN(A708)-B708)</f>
        <v>http://ott.mobaibox.com/PLTV/4/224/3221227692/index.m3u8</v>
      </c>
      <c r="D708" t="str">
        <f>LEFT(A708,B708-1)</f>
        <v>浙江卫视</v>
      </c>
    </row>
    <row r="709" spans="1:4" x14ac:dyDescent="0.25">
      <c r="A709" t="s">
        <v>1406</v>
      </c>
      <c r="B709">
        <f>FIND(",",A709)</f>
        <v>7</v>
      </c>
      <c r="C709" t="str">
        <f>MID(A709,B709+1,LEN(A709)-B709)</f>
        <v>http://ott.mobaibox.com/PLTV/4/224/3221227693/index.m3u8</v>
      </c>
      <c r="D709" t="str">
        <f>LEFT(A709,B709-1)</f>
        <v>CCTV14</v>
      </c>
    </row>
    <row r="710" spans="1:4" x14ac:dyDescent="0.25">
      <c r="A710" t="s">
        <v>1494</v>
      </c>
      <c r="B710">
        <f>FIND(",",A710)</f>
        <v>5</v>
      </c>
      <c r="C710" t="str">
        <f>MID(A710,B710+1,LEN(A710)-B710)</f>
        <v>http://ott.mobaibox.com/PLTV/4/224/3221227694/index.m3u8</v>
      </c>
      <c r="D710" t="str">
        <f>LEFT(A710,B710-1)</f>
        <v>北京卫视</v>
      </c>
    </row>
    <row r="711" spans="1:4" x14ac:dyDescent="0.25">
      <c r="A711" t="s">
        <v>1595</v>
      </c>
      <c r="B711">
        <f>FIND(",",A711)</f>
        <v>5</v>
      </c>
      <c r="C711" t="str">
        <f>MID(A711,B711+1,LEN(A711)-B711)</f>
        <v>http://ott.mobaibox.com/PLTV/4/224/3221227695/index.m3u8</v>
      </c>
      <c r="D711" t="str">
        <f>LEFT(A711,B711-1)</f>
        <v>深圳卫视</v>
      </c>
    </row>
    <row r="712" spans="1:4" x14ac:dyDescent="0.25">
      <c r="A712" t="s">
        <v>1293</v>
      </c>
      <c r="B712">
        <f>FIND(",",A712)</f>
        <v>6</v>
      </c>
      <c r="C712" t="str">
        <f>MID(A712,B712+1,LEN(A712)-B712)</f>
        <v>http://ott.mobaibox.com/PLTV/4/224/3221227696/index.m3u8</v>
      </c>
      <c r="D712" t="str">
        <f>LEFT(A712,B712-1)</f>
        <v>CCTV2</v>
      </c>
    </row>
    <row r="713" spans="1:4" x14ac:dyDescent="0.25">
      <c r="A713" t="s">
        <v>1582</v>
      </c>
      <c r="B713">
        <f>FIND(",",A713)</f>
        <v>5</v>
      </c>
      <c r="C713" t="str">
        <f>MID(A713,B713+1,LEN(A713)-B713)</f>
        <v>http://ott.mobaibox.com/PLTV/4/224/3221227697/index.m3u8</v>
      </c>
      <c r="D713" t="str">
        <f>LEFT(A713,B713-1)</f>
        <v>山东卫视</v>
      </c>
    </row>
    <row r="714" spans="1:4" x14ac:dyDescent="0.25">
      <c r="A714" t="s">
        <v>1468</v>
      </c>
      <c r="B714">
        <f>FIND(",",A714)</f>
        <v>5</v>
      </c>
      <c r="C714" t="str">
        <f>MID(A714,B714+1,LEN(A714)-B714)</f>
        <v>http://ott.mobaibox.com/PLTV/4/224/3221227698/index.m3u8</v>
      </c>
      <c r="D714" t="str">
        <f>LEFT(A714,B714-1)</f>
        <v>湖南卫视</v>
      </c>
    </row>
    <row r="715" spans="1:4" x14ac:dyDescent="0.25">
      <c r="A715" t="s">
        <v>1557</v>
      </c>
      <c r="B715">
        <f>FIND(",",A715)</f>
        <v>5</v>
      </c>
      <c r="C715" t="str">
        <f>MID(A715,B715+1,LEN(A715)-B715)</f>
        <v>http://ott.mobaibox.com/PLTV/4/224/3221227699/index.m3u8</v>
      </c>
      <c r="D715" t="str">
        <f>LEFT(A715,B715-1)</f>
        <v>纪实科教</v>
      </c>
    </row>
    <row r="716" spans="1:4" x14ac:dyDescent="0.25">
      <c r="A716" t="s">
        <v>1567</v>
      </c>
      <c r="B716">
        <f>FIND(",",A716)</f>
        <v>5</v>
      </c>
      <c r="C716" t="str">
        <f>MID(A716,B716+1,LEN(A716)-B716)</f>
        <v>http://ott.mobaibox.com/PLTV/4/224/3221227700/index.m3u8</v>
      </c>
      <c r="D716" t="str">
        <f>LEFT(A716,B716-1)</f>
        <v>辽宁卫视</v>
      </c>
    </row>
    <row r="717" spans="1:4" x14ac:dyDescent="0.25">
      <c r="A717" t="s">
        <v>1552</v>
      </c>
      <c r="B717">
        <f>FIND(",",A717)</f>
        <v>5</v>
      </c>
      <c r="C717" t="str">
        <f>MID(A717,B717+1,LEN(A717)-B717)</f>
        <v>http://ott.mobaibox.com/PLTV/4/224/3221227703/index.m3u8</v>
      </c>
      <c r="D717" t="str">
        <f>LEFT(A717,B717-1)</f>
        <v>湖北卫视</v>
      </c>
    </row>
    <row r="718" spans="1:4" x14ac:dyDescent="0.25">
      <c r="A718" t="s">
        <v>1378</v>
      </c>
      <c r="B718">
        <f>FIND(",",A718)</f>
        <v>6</v>
      </c>
      <c r="C718" t="str">
        <f>MID(A718,B718+1,LEN(A718)-B718)</f>
        <v>http://ott.mobaibox.com/PLTV/4/224/3221227704/index.m3u8</v>
      </c>
      <c r="D718" t="str">
        <f>LEFT(A718,B718-1)</f>
        <v>CCTV9</v>
      </c>
    </row>
    <row r="719" spans="1:4" x14ac:dyDescent="0.25">
      <c r="A719" t="s">
        <v>1453</v>
      </c>
      <c r="B719">
        <f>FIND(",",A719)</f>
        <v>5</v>
      </c>
      <c r="C719" t="str">
        <f>MID(A719,B719+1,LEN(A719)-B719)</f>
        <v>http://ott.mobaibox.com/PLTV/4/224/3221227705/index.m3u8</v>
      </c>
      <c r="D719" t="str">
        <f>LEFT(A719,B719-1)</f>
        <v>江苏卫视</v>
      </c>
    </row>
    <row r="720" spans="1:4" x14ac:dyDescent="0.25">
      <c r="A720" t="s">
        <v>1742</v>
      </c>
      <c r="B720">
        <f>FIND(",",A720)</f>
        <v>5</v>
      </c>
      <c r="C720" t="str">
        <f>MID(A720,B720+1,LEN(A720)-B720)</f>
        <v>http://ott.mobaibox.com/PLTV/4/224/3221227706/index.m3u8</v>
      </c>
      <c r="D720" t="str">
        <f>LEFT(A720,B720-1)</f>
        <v>睢宁综合</v>
      </c>
    </row>
    <row r="721" spans="1:4" x14ac:dyDescent="0.25">
      <c r="A721" t="s">
        <v>1294</v>
      </c>
      <c r="B721">
        <f>FIND(",",A721)</f>
        <v>6</v>
      </c>
      <c r="C721" t="str">
        <f>MID(A721,B721+1,LEN(A721)-B721)</f>
        <v>http://ott.mobaibox.com/PLTV/4/224/3221227708/index.m3u8</v>
      </c>
      <c r="D721" t="str">
        <f>LEFT(A721,B721-1)</f>
        <v>CCTV2</v>
      </c>
    </row>
    <row r="722" spans="1:4" x14ac:dyDescent="0.25">
      <c r="A722" t="s">
        <v>1743</v>
      </c>
      <c r="B722">
        <f>FIND(",",A722)</f>
        <v>5</v>
      </c>
      <c r="C722" t="str">
        <f>MID(A722,B722+1,LEN(A722)-B722)</f>
        <v>http://ott.mobaibox.com/PLTV/4/224/3221227709/index.m3u8</v>
      </c>
      <c r="D722" t="str">
        <f>LEFT(A722,B722-1)</f>
        <v>睢宁三农</v>
      </c>
    </row>
    <row r="723" spans="1:4" x14ac:dyDescent="0.25">
      <c r="A723" t="s">
        <v>1744</v>
      </c>
      <c r="B723">
        <f>FIND(",",A723)</f>
        <v>5</v>
      </c>
      <c r="C723" t="str">
        <f>MID(A723,B723+1,LEN(A723)-B723)</f>
        <v>http://ott.mobaibox.com/PLTV/4/224/3221227712/index.m3u8</v>
      </c>
      <c r="D723" t="str">
        <f>LEFT(A723,B723-1)</f>
        <v>睢宁资讯</v>
      </c>
    </row>
    <row r="724" spans="1:4" x14ac:dyDescent="0.25">
      <c r="A724" t="s">
        <v>1339</v>
      </c>
      <c r="B724">
        <f>FIND(",",A724)</f>
        <v>7</v>
      </c>
      <c r="C724" t="str">
        <f>MID(A724,B724+1,LEN(A724)-B724)</f>
        <v>http://ott.mobaibox.com/PLTV/4/224/3221227714/index.m3u8</v>
      </c>
      <c r="D724" t="str">
        <f>LEFT(A724,B724-1)</f>
        <v>CCTV5+</v>
      </c>
    </row>
    <row r="725" spans="1:4" x14ac:dyDescent="0.25">
      <c r="A725" t="s">
        <v>1384</v>
      </c>
      <c r="B725">
        <f>FIND(",",A725)</f>
        <v>7</v>
      </c>
      <c r="C725" t="str">
        <f>MID(A725,B725+1,LEN(A725)-B725)</f>
        <v>http://ott.mobaibox.com/PLTV/4/224/3221227717/index.m3u8</v>
      </c>
      <c r="D725" t="str">
        <f>LEFT(A725,B725-1)</f>
        <v>CCTV10</v>
      </c>
    </row>
    <row r="726" spans="1:4" x14ac:dyDescent="0.25">
      <c r="A726" t="s">
        <v>1709</v>
      </c>
      <c r="B726">
        <f>FIND(",",A726)</f>
        <v>5</v>
      </c>
      <c r="C726" t="str">
        <f>MID(A726,B726+1,LEN(A726)-B726)</f>
        <v>http://ott.mobaibox.com/PLTV/4/224/3221227719/index.m3u8</v>
      </c>
      <c r="D726" t="str">
        <f>LEFT(A726,B726-1)</f>
        <v>南京影视</v>
      </c>
    </row>
    <row r="727" spans="1:4" x14ac:dyDescent="0.25">
      <c r="A727" t="s">
        <v>1389</v>
      </c>
      <c r="B727">
        <f>FIND(",",A727)</f>
        <v>7</v>
      </c>
      <c r="C727" t="str">
        <f>MID(A727,B727+1,LEN(A727)-B727)</f>
        <v>http://ott.mobaibox.com/PLTV/4/224/3221227720/index.m3u8</v>
      </c>
      <c r="D727" t="str">
        <f>LEFT(A727,B727-1)</f>
        <v>CCTV11</v>
      </c>
    </row>
    <row r="728" spans="1:4" x14ac:dyDescent="0.25">
      <c r="A728" t="s">
        <v>1708</v>
      </c>
      <c r="B728">
        <f>FIND(",",A728)</f>
        <v>7</v>
      </c>
      <c r="C728" t="str">
        <f>MID(A728,B728+1,LEN(A728)-B728)</f>
        <v>http://ott.mobaibox.com/PLTV/4/224/3221227722/index.m3u8</v>
      </c>
      <c r="D728" t="str">
        <f>LEFT(A728,B728-1)</f>
        <v>南京文旅记录</v>
      </c>
    </row>
    <row r="729" spans="1:4" x14ac:dyDescent="0.25">
      <c r="A729" t="s">
        <v>1410</v>
      </c>
      <c r="B729">
        <f>FIND(",",A729)</f>
        <v>7</v>
      </c>
      <c r="C729" t="str">
        <f>MID(A729,B729+1,LEN(A729)-B729)</f>
        <v>http://ott.mobaibox.com/PLTV/4/224/3221227723/index.m3u8</v>
      </c>
      <c r="D729" t="str">
        <f>LEFT(A729,B729-1)</f>
        <v>CCTV15</v>
      </c>
    </row>
    <row r="730" spans="1:4" x14ac:dyDescent="0.25">
      <c r="A730" t="s">
        <v>1281</v>
      </c>
      <c r="B730">
        <f>FIND(",",A730)</f>
        <v>6</v>
      </c>
      <c r="C730" t="str">
        <f>MID(A730,B730+1,LEN(A730)-B730)</f>
        <v>http://ott.mobaibox.com/PLTV/4/224/3221227725/index.m3u8</v>
      </c>
      <c r="D730" t="str">
        <f>LEFT(A730,B730-1)</f>
        <v>CCTV1</v>
      </c>
    </row>
    <row r="731" spans="1:4" x14ac:dyDescent="0.25">
      <c r="A731" t="s">
        <v>1422</v>
      </c>
      <c r="B731">
        <f>FIND(",",A731)</f>
        <v>7</v>
      </c>
      <c r="C731" t="str">
        <f>MID(A731,B731+1,LEN(A731)-B731)</f>
        <v>http://ott.mobaibox.com/PLTV/4/224/3221227726/index.m3u8</v>
      </c>
      <c r="D731" t="str">
        <f>LEFT(A731,B731-1)</f>
        <v>CCTV17</v>
      </c>
    </row>
    <row r="732" spans="1:4" x14ac:dyDescent="0.25">
      <c r="A732" t="s">
        <v>1618</v>
      </c>
      <c r="B732">
        <f>FIND(",",A732)</f>
        <v>5</v>
      </c>
      <c r="C732" t="str">
        <f>MID(A732,B732+1,LEN(A732)-B732)</f>
        <v>http://ott.mobaibox.com/PLTV/4/224/3221227729/index.m3u8</v>
      </c>
      <c r="D732" t="str">
        <f>LEFT(A732,B732-1)</f>
        <v>重庆卫视</v>
      </c>
    </row>
    <row r="733" spans="1:4" x14ac:dyDescent="0.25">
      <c r="A733" t="s">
        <v>1867</v>
      </c>
      <c r="B733">
        <f>FIND(",",A733)</f>
        <v>5</v>
      </c>
      <c r="C733" t="str">
        <f>MID(A733,B733+1,LEN(A733)-B733)</f>
        <v>http://ott.mobaibox.com/PLTV/4/224/3221227730/index.m3u8</v>
      </c>
      <c r="D733" t="str">
        <f>LEFT(A733,B733-1)</f>
        <v>7730</v>
      </c>
    </row>
    <row r="734" spans="1:4" x14ac:dyDescent="0.25">
      <c r="A734" t="s">
        <v>1507</v>
      </c>
      <c r="B734">
        <f>FIND(",",A734)</f>
        <v>5</v>
      </c>
      <c r="C734" t="str">
        <f>MID(A734,B734+1,LEN(A734)-B734)</f>
        <v>http://ott.mobaibox.com/PLTV/4/224/3221227732/index.m3u8</v>
      </c>
      <c r="D734" t="str">
        <f>LEFT(A734,B734-1)</f>
        <v>东方卫视</v>
      </c>
    </row>
    <row r="735" spans="1:4" x14ac:dyDescent="0.25">
      <c r="A735" t="s">
        <v>1712</v>
      </c>
      <c r="B735">
        <f>FIND(",",A735)</f>
        <v>5</v>
      </c>
      <c r="C735" t="str">
        <f>MID(A735,B735+1,LEN(A735)-B735)</f>
        <v>http://ott.mobaibox.com/PLTV/4/224/3221227733/index.m3u8</v>
      </c>
      <c r="D735" t="str">
        <f>LEFT(A735,B735-1)</f>
        <v>南京少儿</v>
      </c>
    </row>
    <row r="736" spans="1:4" x14ac:dyDescent="0.25">
      <c r="A736" t="s">
        <v>1469</v>
      </c>
      <c r="B736">
        <f>FIND(",",A736)</f>
        <v>5</v>
      </c>
      <c r="C736" t="str">
        <f>MID(A736,B736+1,LEN(A736)-B736)</f>
        <v>http://ott.mobaibox.com/PLTV/4/224/3221227735/index.m3u8</v>
      </c>
      <c r="D736" t="str">
        <f>LEFT(A736,B736-1)</f>
        <v>湖南卫视</v>
      </c>
    </row>
    <row r="737" spans="1:4" x14ac:dyDescent="0.25">
      <c r="A737" t="s">
        <v>1560</v>
      </c>
      <c r="B737">
        <f>FIND(",",A737)</f>
        <v>5</v>
      </c>
      <c r="C737" t="str">
        <f>MID(A737,B737+1,LEN(A737)-B737)</f>
        <v>http://ott.mobaibox.com/PLTV/4/224/3221227738/index.m3u8</v>
      </c>
      <c r="D737" t="str">
        <f>LEFT(A737,B737-1)</f>
        <v>江西卫视</v>
      </c>
    </row>
    <row r="738" spans="1:4" x14ac:dyDescent="0.25">
      <c r="A738" t="s">
        <v>1757</v>
      </c>
      <c r="B738">
        <f>FIND(",",A738)</f>
        <v>5</v>
      </c>
      <c r="C738" t="str">
        <f>MID(A738,B738+1,LEN(A738)-B738)</f>
        <v>http://ott.mobaibox.com/PLTV/4/224/3221227739/index.m3u8</v>
      </c>
      <c r="D738" t="str">
        <f>LEFT(A738,B738-1)</f>
        <v>东海文娱</v>
      </c>
    </row>
    <row r="739" spans="1:4" x14ac:dyDescent="0.25">
      <c r="A739" t="s">
        <v>1607</v>
      </c>
      <c r="B739">
        <f>FIND(",",A739)</f>
        <v>5</v>
      </c>
      <c r="C739" t="str">
        <f>MID(A739,B739+1,LEN(A739)-B739)</f>
        <v>http://ott.mobaibox.com/PLTV/4/224/3221227741/index.m3u8</v>
      </c>
      <c r="D739" t="str">
        <f>LEFT(A739,B739-1)</f>
        <v>天津卫视</v>
      </c>
    </row>
    <row r="740" spans="1:4" x14ac:dyDescent="0.25">
      <c r="A740" t="s">
        <v>1476</v>
      </c>
      <c r="B740">
        <f>FIND(",",A740)</f>
        <v>5</v>
      </c>
      <c r="C740" t="str">
        <f>MID(A740,B740+1,LEN(A740)-B740)</f>
        <v>http://ott.mobaibox.com/PLTV/4/224/3221227744/index.m3u8</v>
      </c>
      <c r="D740" t="str">
        <f>LEFT(A740,B740-1)</f>
        <v>浙江卫视</v>
      </c>
    </row>
    <row r="741" spans="1:4" x14ac:dyDescent="0.25">
      <c r="A741" t="s">
        <v>1369</v>
      </c>
      <c r="B741">
        <f>FIND(",",A741)</f>
        <v>6</v>
      </c>
      <c r="C741" t="str">
        <f>MID(A741,B741+1,LEN(A741)-B741)</f>
        <v>http://ott.mobaibox.com/PLTV/4/224/3221227750/index.m3u8</v>
      </c>
      <c r="D741" t="str">
        <f>LEFT(A741,B741-1)</f>
        <v>CCTV8</v>
      </c>
    </row>
    <row r="742" spans="1:4" x14ac:dyDescent="0.25">
      <c r="A742" t="s">
        <v>1717</v>
      </c>
      <c r="B742">
        <f>FIND(",",A742)</f>
        <v>7</v>
      </c>
      <c r="C742" t="str">
        <f>MID(A742,B742+1,LEN(A742)-B742)</f>
        <v>http://ott.mobaibox.com/PLTV/4/224/3221227752/index.m3u8</v>
      </c>
      <c r="D742" t="str">
        <f>LEFT(A742,B742-1)</f>
        <v>常州新闻综合</v>
      </c>
    </row>
    <row r="743" spans="1:4" x14ac:dyDescent="0.25">
      <c r="A743" t="s">
        <v>1543</v>
      </c>
      <c r="B743">
        <f>FIND(",",A743)</f>
        <v>6</v>
      </c>
      <c r="C743" t="str">
        <f>MID(A743,B743+1,LEN(A743)-B743)</f>
        <v>http://ott.mobaibox.com/PLTV/4/224/3221227753/index.m3u8</v>
      </c>
      <c r="D743" t="str">
        <f>LEFT(A743,B743-1)</f>
        <v>黑龙江卫视</v>
      </c>
    </row>
    <row r="744" spans="1:4" x14ac:dyDescent="0.25">
      <c r="A744" t="s">
        <v>1719</v>
      </c>
      <c r="B744">
        <f>FIND(",",A744)</f>
        <v>5</v>
      </c>
      <c r="C744" t="str">
        <f>MID(A744,B744+1,LEN(A744)-B744)</f>
        <v>http://ott.mobaibox.com/PLTV/4/224/3221227755/index.m3u8</v>
      </c>
      <c r="D744" t="str">
        <f>LEFT(A744,B744-1)</f>
        <v>常州都市</v>
      </c>
    </row>
    <row r="745" spans="1:4" x14ac:dyDescent="0.25">
      <c r="A745" t="s">
        <v>1608</v>
      </c>
      <c r="B745">
        <f>FIND(",",A745)</f>
        <v>5</v>
      </c>
      <c r="C745" t="str">
        <f>MID(A745,B745+1,LEN(A745)-B745)</f>
        <v>http://ott.mobaibox.com/PLTV/4/224/3221227756/index.m3u8</v>
      </c>
      <c r="D745" t="str">
        <f>LEFT(A745,B745-1)</f>
        <v>天津卫视</v>
      </c>
    </row>
    <row r="746" spans="1:4" x14ac:dyDescent="0.25">
      <c r="A746" t="s">
        <v>1754</v>
      </c>
      <c r="B746">
        <f>FIND(",",A746)</f>
        <v>8</v>
      </c>
      <c r="C746" t="str">
        <f>MID(A746,B746+1,LEN(A746)-B746)</f>
        <v>http://ott.mobaibox.com/PLTV/4/224/3221227758/index.m3u8</v>
      </c>
      <c r="D746" t="str">
        <f>LEFT(A746,B746-1)</f>
        <v>连云港新闻综合</v>
      </c>
    </row>
    <row r="747" spans="1:4" x14ac:dyDescent="0.25">
      <c r="A747" t="s">
        <v>1485</v>
      </c>
      <c r="B747">
        <f>FIND(",",A747)</f>
        <v>5</v>
      </c>
      <c r="C747" t="str">
        <f>MID(A747,B747+1,LEN(A747)-B747)</f>
        <v>http://ott.mobaibox.com/PLTV/4/224/3221227759/index.m3u8</v>
      </c>
      <c r="D747" t="str">
        <f>LEFT(A747,B747-1)</f>
        <v>安徽卫视</v>
      </c>
    </row>
    <row r="748" spans="1:4" x14ac:dyDescent="0.25">
      <c r="A748" t="s">
        <v>1868</v>
      </c>
      <c r="B748">
        <f>FIND(",",A748)</f>
        <v>5</v>
      </c>
      <c r="C748" t="str">
        <f>MID(A748,B748+1,LEN(A748)-B748)</f>
        <v>http://ott.mobaibox.com/PLTV/4/224/3221227786/index.m3u8</v>
      </c>
      <c r="D748" t="str">
        <f>LEFT(A748,B748-1)</f>
        <v>7786</v>
      </c>
    </row>
    <row r="749" spans="1:4" x14ac:dyDescent="0.25">
      <c r="A749" t="s">
        <v>1756</v>
      </c>
      <c r="B749">
        <f>FIND(",",A749)</f>
        <v>5</v>
      </c>
      <c r="C749" t="str">
        <f>MID(A749,B749+1,LEN(A749)-B749)</f>
        <v>http://ott.mobaibox.com/PLTV/4/224/3221227792/index.m3u8</v>
      </c>
      <c r="D749" t="str">
        <f>LEFT(A749,B749-1)</f>
        <v>东海综合</v>
      </c>
    </row>
    <row r="750" spans="1:4" x14ac:dyDescent="0.25">
      <c r="A750" t="s">
        <v>1721</v>
      </c>
      <c r="B750">
        <f>FIND(",",A750)</f>
        <v>5</v>
      </c>
      <c r="C750" t="str">
        <f>MID(A750,B750+1,LEN(A750)-B750)</f>
        <v>http://ott.mobaibox.com/PLTV/4/224/3221227816/index.m3u8</v>
      </c>
      <c r="D750" t="str">
        <f>LEFT(A750,B750-1)</f>
        <v>常州生活</v>
      </c>
    </row>
    <row r="751" spans="1:4" x14ac:dyDescent="0.25">
      <c r="A751" t="s">
        <v>1755</v>
      </c>
      <c r="B751">
        <f>FIND(",",A751)</f>
        <v>6</v>
      </c>
      <c r="C751" t="str">
        <f>MID(A751,B751+1,LEN(A751)-B751)</f>
        <v>http://ott.mobaibox.com/PLTV/4/224/3221227819/index.m3u8</v>
      </c>
      <c r="D751" t="str">
        <f>LEFT(A751,B751-1)</f>
        <v>连云港生活</v>
      </c>
    </row>
    <row r="752" spans="1:4" x14ac:dyDescent="0.25">
      <c r="A752" t="s">
        <v>1665</v>
      </c>
      <c r="B752">
        <f>FIND(",",A752)</f>
        <v>11</v>
      </c>
      <c r="C752" t="str">
        <f>MID(A752,B752+1,LEN(A752)-B752)</f>
        <v>http://ott.mobaibox.com/PLTV/4/224/3221227896/index.m3u8</v>
      </c>
      <c r="D752" t="str">
        <f>LEFT(A752,B752-1)</f>
        <v>苏超电视墙-7896</v>
      </c>
    </row>
    <row r="753" spans="1:4" x14ac:dyDescent="0.25">
      <c r="A753" t="s">
        <v>1718</v>
      </c>
      <c r="B753">
        <f>FIND(",",A753)</f>
        <v>7</v>
      </c>
      <c r="C753" t="str">
        <f>MID(A753,B753+1,LEN(A753)-B753)</f>
        <v>http://ott.mobaibox.com/PLTV/4/224/3221227899/index.m3u8</v>
      </c>
      <c r="D753" t="str">
        <f>LEFT(A753,B753-1)</f>
        <v>常州新闻综合</v>
      </c>
    </row>
    <row r="754" spans="1:4" x14ac:dyDescent="0.25">
      <c r="A754" t="s">
        <v>1722</v>
      </c>
      <c r="B754">
        <f>FIND(",",A754)</f>
        <v>5</v>
      </c>
      <c r="C754" t="str">
        <f>MID(A754,B754+1,LEN(A754)-B754)</f>
        <v>http://ott.mobaibox.com/PLTV/4/224/3221227902/index.m3u8</v>
      </c>
      <c r="D754" t="str">
        <f>LEFT(A754,B754-1)</f>
        <v>常州生活</v>
      </c>
    </row>
    <row r="755" spans="1:4" x14ac:dyDescent="0.25">
      <c r="A755" t="s">
        <v>1869</v>
      </c>
      <c r="B755">
        <f>FIND(",",A755)</f>
        <v>5</v>
      </c>
      <c r="C755" t="str">
        <f>MID(A755,B755+1,LEN(A755)-B755)</f>
        <v>http://ott.mobaibox.com/PLTV/4/224/3221227905/index.m3u8</v>
      </c>
      <c r="D755" t="str">
        <f>LEFT(A755,B755-1)</f>
        <v>7905</v>
      </c>
    </row>
    <row r="756" spans="1:4" x14ac:dyDescent="0.25">
      <c r="A756" t="s">
        <v>1892</v>
      </c>
      <c r="B756">
        <f>FIND(",",A756)</f>
        <v>9</v>
      </c>
      <c r="C756" t="str">
        <f>MID(A756,B756+1,LEN(A756)-B756)</f>
        <v>http://ott.mobaibox.com/PLTV/4/224/3221227934/index.m3u8</v>
      </c>
      <c r="D756" t="str">
        <f>LEFT(A756,B756-1)</f>
        <v>江苏新闻综合广播</v>
      </c>
    </row>
    <row r="757" spans="1:4" x14ac:dyDescent="0.25">
      <c r="A757" t="s">
        <v>1893</v>
      </c>
      <c r="B757">
        <f>FIND(",",A757)</f>
        <v>8</v>
      </c>
      <c r="C757" t="str">
        <f>MID(A757,B757+1,LEN(A757)-B757)</f>
        <v>http://ott.mobaibox.com/PLTV/4/224/3221227937/index.m3u8</v>
      </c>
      <c r="D757" t="str">
        <f>LEFT(A757,B757-1)</f>
        <v>江苏交通广播网</v>
      </c>
    </row>
    <row r="758" spans="1:4" x14ac:dyDescent="0.25">
      <c r="A758" t="s">
        <v>1894</v>
      </c>
      <c r="B758">
        <f>FIND(",",A758)</f>
        <v>5</v>
      </c>
      <c r="C758" t="str">
        <f>MID(A758,B758+1,LEN(A758)-B758)</f>
        <v>http://ott.mobaibox.com/PLTV/4/224/3221227940/index.m3u8</v>
      </c>
      <c r="D758" t="str">
        <f>LEFT(A758,B758-1)</f>
        <v>金陵之声</v>
      </c>
    </row>
    <row r="759" spans="1:4" x14ac:dyDescent="0.25">
      <c r="A759" t="s">
        <v>1895</v>
      </c>
      <c r="B759">
        <f>FIND(",",A759)</f>
        <v>9</v>
      </c>
      <c r="C759" t="str">
        <f>MID(A759,B759+1,LEN(A759)-B759)</f>
        <v>http://ott.mobaibox.com/PLTV/4/224/3221227943/index.m3u8</v>
      </c>
      <c r="D759" t="str">
        <f>LEFT(A759,B759-1)</f>
        <v>江苏经典流行音乐</v>
      </c>
    </row>
    <row r="760" spans="1:4" x14ac:dyDescent="0.25">
      <c r="A760" t="s">
        <v>1896</v>
      </c>
      <c r="B760">
        <f>FIND(",",A760)</f>
        <v>7</v>
      </c>
      <c r="C760" t="str">
        <f>MID(A760,B760+1,LEN(A760)-B760)</f>
        <v>http://ott.mobaibox.com/PLTV/4/224/3221227946/index.m3u8</v>
      </c>
      <c r="D760" t="str">
        <f>LEFT(A760,B760-1)</f>
        <v>江苏财经广播</v>
      </c>
    </row>
    <row r="761" spans="1:4" x14ac:dyDescent="0.25">
      <c r="A761" t="s">
        <v>1897</v>
      </c>
      <c r="B761">
        <f>FIND(",",A761)</f>
        <v>6</v>
      </c>
      <c r="C761" t="str">
        <f>MID(A761,B761+1,LEN(A761)-B761)</f>
        <v>http://ott.mobaibox.com/PLTV/4/224/3221227949/index.m3u8</v>
      </c>
      <c r="D761" t="str">
        <f>LEFT(A761,B761-1)</f>
        <v>江苏音乐台</v>
      </c>
    </row>
    <row r="762" spans="1:4" x14ac:dyDescent="0.25">
      <c r="A762" t="s">
        <v>1898</v>
      </c>
      <c r="B762">
        <f>FIND(",",A762)</f>
        <v>7</v>
      </c>
      <c r="C762" t="str">
        <f>MID(A762,B762+1,LEN(A762)-B762)</f>
        <v>http://ott.mobaibox.com/PLTV/4/224/3221227952/index.m3u8</v>
      </c>
      <c r="D762" t="str">
        <f>LEFT(A762,B762-1)</f>
        <v>江苏健康广播</v>
      </c>
    </row>
    <row r="763" spans="1:4" x14ac:dyDescent="0.25">
      <c r="A763" t="s">
        <v>1720</v>
      </c>
      <c r="B763">
        <f>FIND(",",A763)</f>
        <v>5</v>
      </c>
      <c r="C763" t="str">
        <f>MID(A763,B763+1,LEN(A763)-B763)</f>
        <v>http://ott.mobaibox.com/PLTV/4/224/3221227955/index.m3u8</v>
      </c>
      <c r="D763" t="str">
        <f>LEFT(A763,B763-1)</f>
        <v>常州都市</v>
      </c>
    </row>
    <row r="764" spans="1:4" x14ac:dyDescent="0.25">
      <c r="A764" t="s">
        <v>1899</v>
      </c>
      <c r="B764">
        <f>FIND(",",A764)</f>
        <v>7</v>
      </c>
      <c r="C764" t="str">
        <f>MID(A764,B764+1,LEN(A764)-B764)</f>
        <v>http://ott.mobaibox.com/PLTV/4/224/3221227984/index.m3u8</v>
      </c>
      <c r="D764" t="str">
        <f>LEFT(A764,B764-1)</f>
        <v>江苏新闻广播</v>
      </c>
    </row>
    <row r="765" spans="1:4" x14ac:dyDescent="0.25">
      <c r="A765" t="s">
        <v>1900</v>
      </c>
      <c r="B765">
        <f>FIND(",",A765)</f>
        <v>7</v>
      </c>
      <c r="C765" t="str">
        <f>MID(A765,B765+1,LEN(A765)-B765)</f>
        <v>http://ott.mobaibox.com/PLTV/4/224/3221227987/index.m3u8</v>
      </c>
      <c r="D765" t="str">
        <f>LEFT(A765,B765-1)</f>
        <v>江苏文艺广播</v>
      </c>
    </row>
    <row r="766" spans="1:4" x14ac:dyDescent="0.25">
      <c r="A766" t="s">
        <v>1901</v>
      </c>
      <c r="B766">
        <f>FIND(",",A766)</f>
        <v>7</v>
      </c>
      <c r="C766" t="str">
        <f>MID(A766,B766+1,LEN(A766)-B766)</f>
        <v>http://ott.mobaibox.com/PLTV/4/224/3221227990/index.m3u8</v>
      </c>
      <c r="D766" t="str">
        <f>LEFT(A766,B766-1)</f>
        <v>江苏故事广播</v>
      </c>
    </row>
    <row r="767" spans="1:4" x14ac:dyDescent="0.25">
      <c r="A767" t="s">
        <v>1749</v>
      </c>
      <c r="B767">
        <f>FIND(",",A767)</f>
        <v>5</v>
      </c>
      <c r="C767" t="str">
        <f>MID(A767,B767+1,LEN(A767)-B767)</f>
        <v>http://ott.mobaibox.com/PLTV/4/224/3221228007/index.m3u8</v>
      </c>
      <c r="D767" t="str">
        <f>LEFT(A767,B767-1)</f>
        <v>宝应新闻</v>
      </c>
    </row>
    <row r="768" spans="1:4" x14ac:dyDescent="0.25">
      <c r="A768" t="s">
        <v>1554</v>
      </c>
      <c r="B768">
        <f>FIND(",",A768)</f>
        <v>5</v>
      </c>
      <c r="C768" t="str">
        <f>MID(A768,B768+1,LEN(A768)-B768)</f>
        <v>http://ott.mobaibox.com/PLTV/4/224/3221228028/index.m3u8</v>
      </c>
      <c r="D768" t="str">
        <f>LEFT(A768,B768-1)</f>
        <v>吉林卫视</v>
      </c>
    </row>
    <row r="769" spans="1:4" x14ac:dyDescent="0.25">
      <c r="A769" t="s">
        <v>1865</v>
      </c>
      <c r="B769">
        <f>FIND(",",A769)</f>
        <v>5</v>
      </c>
      <c r="C769" t="str">
        <f>MID(A769,B769+1,LEN(A769)-B769)</f>
        <v>http://ott.mobaibox.com/PLTV/4/224/3221228039/index.m3u8</v>
      </c>
      <c r="D769" t="str">
        <f>LEFT(A769,B769-1)</f>
        <v>8039</v>
      </c>
    </row>
    <row r="770" spans="1:4" x14ac:dyDescent="0.25">
      <c r="A770" t="s">
        <v>1282</v>
      </c>
      <c r="B770">
        <f>FIND(",",A770)</f>
        <v>6</v>
      </c>
      <c r="C770" t="str">
        <f>MID(A770,B770+1,LEN(A770)-B770)</f>
        <v>http://ott.mobaibox.com/PLTV/4/224/3221228049/index.m3u8</v>
      </c>
      <c r="D770" t="str">
        <f>LEFT(A770,B770-1)</f>
        <v>CCTV1</v>
      </c>
    </row>
    <row r="771" spans="1:4" x14ac:dyDescent="0.25">
      <c r="A771" t="s">
        <v>1737</v>
      </c>
      <c r="B771">
        <f>FIND(",",A771)</f>
        <v>5</v>
      </c>
      <c r="C771" t="str">
        <f>MID(A771,B771+1,LEN(A771)-B771)</f>
        <v>http://ott.mobaibox.com/PLTV/4/224/3221228055/index.m3u8</v>
      </c>
      <c r="D771" t="str">
        <f>LEFT(A771,B771-1)</f>
        <v>铜山-3</v>
      </c>
    </row>
    <row r="772" spans="1:4" x14ac:dyDescent="0.25">
      <c r="A772" t="s">
        <v>1340</v>
      </c>
      <c r="B772">
        <f>FIND(",",A772)</f>
        <v>7</v>
      </c>
      <c r="C772" t="str">
        <f>MID(A772,B772+1,LEN(A772)-B772)</f>
        <v>http://ott.mobaibox.com/PLTV/4/224/3221228076/index.m3u8</v>
      </c>
      <c r="D772" t="str">
        <f>LEFT(A772,B772-1)</f>
        <v>CCTV5+</v>
      </c>
    </row>
    <row r="773" spans="1:4" x14ac:dyDescent="0.25">
      <c r="A773" t="s">
        <v>1370</v>
      </c>
      <c r="B773">
        <f>FIND(",",A773)</f>
        <v>6</v>
      </c>
      <c r="C773" t="str">
        <f>MID(A773,B773+1,LEN(A773)-B773)</f>
        <v>http://ott.mobaibox.com/PLTV/4/224/3221228079/index.m3u8</v>
      </c>
      <c r="D773" t="str">
        <f>LEFT(A773,B773-1)</f>
        <v>CCTV8</v>
      </c>
    </row>
    <row r="774" spans="1:4" x14ac:dyDescent="0.25">
      <c r="A774" t="s">
        <v>1736</v>
      </c>
      <c r="B774">
        <f>FIND(",",A774)</f>
        <v>5</v>
      </c>
      <c r="C774" t="str">
        <f>MID(A774,B774+1,LEN(A774)-B774)</f>
        <v>http://ott.mobaibox.com/PLTV/4/224/3221228081/index.m3u8</v>
      </c>
      <c r="D774" t="str">
        <f>LEFT(A774,B774-1)</f>
        <v>铜山-2</v>
      </c>
    </row>
    <row r="775" spans="1:4" x14ac:dyDescent="0.25">
      <c r="A775" t="s">
        <v>1328</v>
      </c>
      <c r="B775">
        <f>FIND(",",A775)</f>
        <v>6</v>
      </c>
      <c r="C775" t="str">
        <f>MID(A775,B775+1,LEN(A775)-B775)</f>
        <v>http://ott.mobaibox.com/PLTV/4/224/3221228082/index.m3u8</v>
      </c>
      <c r="D775" t="str">
        <f>LEFT(A775,B775-1)</f>
        <v>CCTV5</v>
      </c>
    </row>
    <row r="776" spans="1:4" x14ac:dyDescent="0.25">
      <c r="A776" t="s">
        <v>1371</v>
      </c>
      <c r="B776">
        <f>FIND(",",A776)</f>
        <v>6</v>
      </c>
      <c r="C776" t="str">
        <f>MID(A776,B776+1,LEN(A776)-B776)</f>
        <v>http://ott.mobaibox.com/PLTV/4/224/3221228084/index.m3u8</v>
      </c>
      <c r="D776" t="str">
        <f>LEFT(A776,B776-1)</f>
        <v>CCTV8</v>
      </c>
    </row>
    <row r="777" spans="1:4" x14ac:dyDescent="0.25">
      <c r="A777" t="s">
        <v>1317</v>
      </c>
      <c r="B777">
        <f>FIND(",",A777)</f>
        <v>6</v>
      </c>
      <c r="C777" t="str">
        <f>MID(A777,B777+1,LEN(A777)-B777)</f>
        <v>http://ott.mobaibox.com/PLTV/4/224/3221228091/index.m3u8</v>
      </c>
      <c r="D777" t="str">
        <f>LEFT(A777,B777-1)</f>
        <v>CCTV4</v>
      </c>
    </row>
    <row r="778" spans="1:4" x14ac:dyDescent="0.25">
      <c r="A778" t="s">
        <v>1295</v>
      </c>
      <c r="B778">
        <f>FIND(",",A778)</f>
        <v>6</v>
      </c>
      <c r="C778" t="str">
        <f>MID(A778,B778+1,LEN(A778)-B778)</f>
        <v>http://ott.mobaibox.com/PLTV/4/224/3221228094/index.m3u8</v>
      </c>
      <c r="D778" t="str">
        <f>LEFT(A778,B778-1)</f>
        <v>CCTV2</v>
      </c>
    </row>
    <row r="779" spans="1:4" x14ac:dyDescent="0.25">
      <c r="A779" t="s">
        <v>1454</v>
      </c>
      <c r="B779">
        <f>FIND(",",A779)</f>
        <v>5</v>
      </c>
      <c r="C779" t="str">
        <f>MID(A779,B779+1,LEN(A779)-B779)</f>
        <v>http://ott.mobaibox.com/PLTV/4/224/3221228097/index.m3u8</v>
      </c>
      <c r="D779" t="str">
        <f>LEFT(A779,B779-1)</f>
        <v>江苏卫视</v>
      </c>
    </row>
    <row r="780" spans="1:4" x14ac:dyDescent="0.25">
      <c r="A780" t="s">
        <v>1455</v>
      </c>
      <c r="B780">
        <f>FIND(",",A780)</f>
        <v>5</v>
      </c>
      <c r="C780" t="str">
        <f>MID(A780,B780+1,LEN(A780)-B780)</f>
        <v>http://ott.mobaibox.com/PLTV/4/224/3221228099/index.m3u8</v>
      </c>
      <c r="D780" t="str">
        <f>LEFT(A780,B780-1)</f>
        <v>江苏卫视</v>
      </c>
    </row>
    <row r="781" spans="1:4" x14ac:dyDescent="0.25">
      <c r="A781" t="s">
        <v>1753</v>
      </c>
      <c r="B781">
        <f>FIND(",",A781)</f>
        <v>5</v>
      </c>
      <c r="C781" t="str">
        <f>MID(A781,B781+1,LEN(A781)-B781)</f>
        <v>http://ott.mobaibox.com/PLTV/4/224/3221228100/index.m3u8</v>
      </c>
      <c r="D781" t="str">
        <f>LEFT(A781,B781-1)</f>
        <v>泰州-3</v>
      </c>
    </row>
    <row r="782" spans="1:4" x14ac:dyDescent="0.25">
      <c r="A782" t="s">
        <v>1531</v>
      </c>
      <c r="B782">
        <f>FIND(",",A782)</f>
        <v>5</v>
      </c>
      <c r="C782" t="str">
        <f>MID(A782,B782+1,LEN(A782)-B782)</f>
        <v>http://ott.mobaibox.com/PLTV/4/224/3221228101/index.m3u8</v>
      </c>
      <c r="D782" t="str">
        <f>LEFT(A782,B782-1)</f>
        <v>海南卫视</v>
      </c>
    </row>
    <row r="783" spans="1:4" x14ac:dyDescent="0.25">
      <c r="A783" t="s">
        <v>1714</v>
      </c>
      <c r="B783">
        <f>FIND(",",A783)</f>
        <v>7</v>
      </c>
      <c r="C783" t="str">
        <f>MID(A783,B783+1,LEN(A783)-B783)</f>
        <v>http://ott.mobaibox.com/PLTV/4/224/3221228103/index.m3u8</v>
      </c>
      <c r="D783" t="str">
        <f>LEFT(A783,B783-1)</f>
        <v>无锡新闻综合</v>
      </c>
    </row>
    <row r="784" spans="1:4" x14ac:dyDescent="0.25">
      <c r="A784" t="s">
        <v>1534</v>
      </c>
      <c r="B784">
        <f>FIND(",",A784)</f>
        <v>5</v>
      </c>
      <c r="C784" t="str">
        <f>MID(A784,B784+1,LEN(A784)-B784)</f>
        <v>http://ott.mobaibox.com/PLTV/4/224/3221228106/index.m3u8</v>
      </c>
      <c r="D784" t="str">
        <f>LEFT(A784,B784-1)</f>
        <v>河北卫视</v>
      </c>
    </row>
    <row r="785" spans="1:4" x14ac:dyDescent="0.25">
      <c r="A785" t="s">
        <v>1561</v>
      </c>
      <c r="B785">
        <f>FIND(",",A785)</f>
        <v>5</v>
      </c>
      <c r="C785" t="str">
        <f>MID(A785,B785+1,LEN(A785)-B785)</f>
        <v>http://ott.mobaibox.com/PLTV/4/224/3221228109/index.m3u8</v>
      </c>
      <c r="D785" t="str">
        <f>LEFT(A785,B785-1)</f>
        <v>江西卫视</v>
      </c>
    </row>
    <row r="786" spans="1:4" x14ac:dyDescent="0.25">
      <c r="A786" t="s">
        <v>1413</v>
      </c>
      <c r="B786">
        <f>FIND(",",A786)</f>
        <v>7</v>
      </c>
      <c r="C786" t="str">
        <f>MID(A786,B786+1,LEN(A786)-B786)</f>
        <v>http://ott.mobaibox.com/PLTV/4/224/3221228112/index.m3u8</v>
      </c>
      <c r="D786" t="str">
        <f>LEFT(A786,B786-1)</f>
        <v>CCTV16</v>
      </c>
    </row>
    <row r="787" spans="1:4" x14ac:dyDescent="0.25">
      <c r="A787" t="s">
        <v>1341</v>
      </c>
      <c r="B787">
        <f>FIND(",",A787)</f>
        <v>7</v>
      </c>
      <c r="C787" t="str">
        <f>MID(A787,B787+1,LEN(A787)-B787)</f>
        <v>http://ott.mobaibox.com/PLTV/4/224/3221228114/index.m3u8</v>
      </c>
      <c r="D787" t="str">
        <f>LEFT(A787,B787-1)</f>
        <v>CCTV5+</v>
      </c>
    </row>
    <row r="788" spans="1:4" x14ac:dyDescent="0.25">
      <c r="A788" t="s">
        <v>1495</v>
      </c>
      <c r="B788">
        <f>FIND(",",A788)</f>
        <v>5</v>
      </c>
      <c r="C788" t="str">
        <f>MID(A788,B788+1,LEN(A788)-B788)</f>
        <v>http://ott.mobaibox.com/PLTV/4/224/3221228115/index.m3u8</v>
      </c>
      <c r="D788" t="str">
        <f>LEFT(A788,B788-1)</f>
        <v>北京卫视</v>
      </c>
    </row>
    <row r="789" spans="1:4" x14ac:dyDescent="0.25">
      <c r="A789" t="s">
        <v>1296</v>
      </c>
      <c r="B789">
        <f>FIND(",",A789)</f>
        <v>6</v>
      </c>
      <c r="C789" t="str">
        <f>MID(A789,B789+1,LEN(A789)-B789)</f>
        <v>http://ott.mobaibox.com/PLTV/4/224/3221228118/index.m3u8</v>
      </c>
      <c r="D789" t="str">
        <f>LEFT(A789,B789-1)</f>
        <v>CCTV2</v>
      </c>
    </row>
    <row r="790" spans="1:4" x14ac:dyDescent="0.25">
      <c r="A790" t="s">
        <v>1399</v>
      </c>
      <c r="B790">
        <f>FIND(",",A790)</f>
        <v>7</v>
      </c>
      <c r="C790" t="str">
        <f>MID(A790,B790+1,LEN(A790)-B790)</f>
        <v>http://ott.mobaibox.com/PLTV/4/224/3221228121/index.m3u8</v>
      </c>
      <c r="D790" t="str">
        <f>LEFT(A790,B790-1)</f>
        <v>CCTV13</v>
      </c>
    </row>
    <row r="791" spans="1:4" x14ac:dyDescent="0.25">
      <c r="A791" t="s">
        <v>1352</v>
      </c>
      <c r="B791">
        <f>FIND(",",A791)</f>
        <v>6</v>
      </c>
      <c r="C791" t="str">
        <f>MID(A791,B791+1,LEN(A791)-B791)</f>
        <v>http://ott.mobaibox.com/PLTV/4/224/3221228123/index.m3u8</v>
      </c>
      <c r="D791" t="str">
        <f>LEFT(A791,B791-1)</f>
        <v>CCTV6</v>
      </c>
    </row>
    <row r="792" spans="1:4" x14ac:dyDescent="0.25">
      <c r="A792" t="s">
        <v>1583</v>
      </c>
      <c r="B792">
        <f>FIND(",",A792)</f>
        <v>5</v>
      </c>
      <c r="C792" t="str">
        <f>MID(A792,B792+1,LEN(A792)-B792)</f>
        <v>http://ott.mobaibox.com/PLTV/4/224/3221228124/index.m3u8</v>
      </c>
      <c r="D792" t="str">
        <f>LEFT(A792,B792-1)</f>
        <v>山东卫视</v>
      </c>
    </row>
    <row r="793" spans="1:4" x14ac:dyDescent="0.25">
      <c r="A793" t="s">
        <v>1306</v>
      </c>
      <c r="B793">
        <f>FIND(",",A793)</f>
        <v>6</v>
      </c>
      <c r="C793" t="str">
        <f>MID(A793,B793+1,LEN(A793)-B793)</f>
        <v>http://ott.mobaibox.com/PLTV/4/224/3221228126/index.m3u8</v>
      </c>
      <c r="D793" t="str">
        <f>LEFT(A793,B793-1)</f>
        <v>CCTV3</v>
      </c>
    </row>
    <row r="794" spans="1:4" x14ac:dyDescent="0.25">
      <c r="A794" t="s">
        <v>1623</v>
      </c>
      <c r="B794">
        <f>FIND(",",A794)</f>
        <v>5</v>
      </c>
      <c r="C794" t="str">
        <f>MID(A794,B794+1,LEN(A794)-B794)</f>
        <v>http://ott.mobaibox.com/PLTV/4/224/3221228129/index.m3u8</v>
      </c>
      <c r="D794" t="str">
        <f>LEFT(A794,B794-1)</f>
        <v>睛彩篮球</v>
      </c>
    </row>
    <row r="795" spans="1:4" x14ac:dyDescent="0.25">
      <c r="A795" t="s">
        <v>1555</v>
      </c>
      <c r="B795">
        <f>FIND(",",A795)</f>
        <v>5</v>
      </c>
      <c r="C795" t="str">
        <f>MID(A795,B795+1,LEN(A795)-B795)</f>
        <v>http://ott.mobaibox.com/PLTV/4/224/3221228130/index.m3u8</v>
      </c>
      <c r="D795" t="str">
        <f>LEFT(A795,B795-1)</f>
        <v>吉林卫视</v>
      </c>
    </row>
    <row r="796" spans="1:4" x14ac:dyDescent="0.25">
      <c r="A796" t="s">
        <v>1798</v>
      </c>
      <c r="B796">
        <f>FIND(",",A796)</f>
        <v>9</v>
      </c>
      <c r="C796" t="str">
        <f>MID(A796,B796+1,LEN(A796)-B796)</f>
        <v>http://ott.mobaibox.com/PLTV/4/224/3221228132/index.m3u8</v>
      </c>
      <c r="D796" t="str">
        <f>LEFT(A796,B796-1)</f>
        <v>电视剧-8132</v>
      </c>
    </row>
    <row r="797" spans="1:4" x14ac:dyDescent="0.25">
      <c r="A797" t="s">
        <v>1619</v>
      </c>
      <c r="B797">
        <f>FIND(",",A797)</f>
        <v>5</v>
      </c>
      <c r="C797" t="str">
        <f>MID(A797,B797+1,LEN(A797)-B797)</f>
        <v>http://ott.mobaibox.com/PLTV/4/224/3221228133/index.m3u8</v>
      </c>
      <c r="D797" t="str">
        <f>LEFT(A797,B797-1)</f>
        <v>重庆卫视</v>
      </c>
    </row>
    <row r="798" spans="1:4" x14ac:dyDescent="0.25">
      <c r="A798" t="s">
        <v>1529</v>
      </c>
      <c r="B798">
        <f>FIND(",",A798)</f>
        <v>5</v>
      </c>
      <c r="C798" t="str">
        <f>MID(A798,B798+1,LEN(A798)-B798)</f>
        <v>http://ott.mobaibox.com/PLTV/4/224/3221228136/index.m3u8</v>
      </c>
      <c r="D798" t="str">
        <f>LEFT(A798,B798-1)</f>
        <v>贵州卫视</v>
      </c>
    </row>
    <row r="799" spans="1:4" x14ac:dyDescent="0.25">
      <c r="A799" t="s">
        <v>1428</v>
      </c>
      <c r="B799">
        <f>FIND(",",A799)</f>
        <v>10</v>
      </c>
      <c r="C799" t="str">
        <f>MID(A799,B799+1,LEN(A799)-B799)</f>
        <v>http://ott.mobaibox.com/PLTV/4/224/3221228138/index.m3u8</v>
      </c>
      <c r="D799" t="str">
        <f>LEFT(A799,B799-1)</f>
        <v>CCTV高尔夫网球</v>
      </c>
    </row>
    <row r="800" spans="1:4" x14ac:dyDescent="0.25">
      <c r="A800" t="s">
        <v>1532</v>
      </c>
      <c r="B800">
        <f>FIND(",",A800)</f>
        <v>5</v>
      </c>
      <c r="C800" t="str">
        <f>MID(A800,B800+1,LEN(A800)-B800)</f>
        <v>http://ott.mobaibox.com/PLTV/4/224/3221228139/index.m3u8</v>
      </c>
      <c r="D800" t="str">
        <f>LEFT(A800,B800-1)</f>
        <v>海南卫视</v>
      </c>
    </row>
    <row r="801" spans="1:4" x14ac:dyDescent="0.25">
      <c r="A801" t="s">
        <v>1790</v>
      </c>
      <c r="B801">
        <f>FIND(",",A801)</f>
        <v>5</v>
      </c>
      <c r="C801" t="str">
        <f>MID(A801,B801+1,LEN(A801)-B801)</f>
        <v>http://ott.mobaibox.com/PLTV/4/224/3221228141/index.m3u8</v>
      </c>
      <c r="D801" t="str">
        <f>LEFT(A801,B801-1)</f>
        <v>4K修复</v>
      </c>
    </row>
    <row r="802" spans="1:4" x14ac:dyDescent="0.25">
      <c r="A802" t="s">
        <v>1414</v>
      </c>
      <c r="B802">
        <f>FIND(",",A802)</f>
        <v>7</v>
      </c>
      <c r="C802" t="str">
        <f>MID(A802,B802+1,LEN(A802)-B802)</f>
        <v>http://ott.mobaibox.com/PLTV/4/224/3221228144/index.m3u8</v>
      </c>
      <c r="D802" t="str">
        <f>LEFT(A802,B802-1)</f>
        <v>CCTV16</v>
      </c>
    </row>
    <row r="803" spans="1:4" x14ac:dyDescent="0.25">
      <c r="A803" t="s">
        <v>1283</v>
      </c>
      <c r="B803">
        <f>FIND(",",A803)</f>
        <v>6</v>
      </c>
      <c r="C803" t="str">
        <f>MID(A803,B803+1,LEN(A803)-B803)</f>
        <v>http://ott.mobaibox.com/PLTV/4/224/3221228146/index.m3u8</v>
      </c>
      <c r="D803" t="str">
        <f>LEFT(A803,B803-1)</f>
        <v>CCTV1</v>
      </c>
    </row>
    <row r="804" spans="1:4" x14ac:dyDescent="0.25">
      <c r="A804" t="s">
        <v>1477</v>
      </c>
      <c r="B804">
        <f>FIND(",",A804)</f>
        <v>5</v>
      </c>
      <c r="C804" t="str">
        <f>MID(A804,B804+1,LEN(A804)-B804)</f>
        <v>http://ott.mobaibox.com/PLTV/4/224/3221228147/index.m3u8</v>
      </c>
      <c r="D804" t="str">
        <f>LEFT(A804,B804-1)</f>
        <v>浙江卫视</v>
      </c>
    </row>
    <row r="805" spans="1:4" x14ac:dyDescent="0.25">
      <c r="A805" t="s">
        <v>1284</v>
      </c>
      <c r="B805">
        <f>FIND(",",A805)</f>
        <v>6</v>
      </c>
      <c r="C805" t="str">
        <f>MID(A805,B805+1,LEN(A805)-B805)</f>
        <v>http://ott.mobaibox.com/PLTV/4/224/3221228149/index.m3u8</v>
      </c>
      <c r="D805" t="str">
        <f>LEFT(A805,B805-1)</f>
        <v>CCTV1</v>
      </c>
    </row>
    <row r="806" spans="1:4" x14ac:dyDescent="0.25">
      <c r="A806" t="s">
        <v>1508</v>
      </c>
      <c r="B806">
        <f>FIND(",",A806)</f>
        <v>5</v>
      </c>
      <c r="C806" t="str">
        <f>MID(A806,B806+1,LEN(A806)-B806)</f>
        <v>http://ott.mobaibox.com/PLTV/4/224/3221228150/index.m3u8</v>
      </c>
      <c r="D806" t="str">
        <f>LEFT(A806,B806-1)</f>
        <v>东方卫视</v>
      </c>
    </row>
    <row r="807" spans="1:4" x14ac:dyDescent="0.25">
      <c r="A807" t="s">
        <v>1735</v>
      </c>
      <c r="B807">
        <f>FIND(",",A807)</f>
        <v>5</v>
      </c>
      <c r="C807" t="str">
        <f>MID(A807,B807+1,LEN(A807)-B807)</f>
        <v>http://ott.mobaibox.com/PLTV/4/224/3221228152/index.m3u8</v>
      </c>
      <c r="D807" t="str">
        <f>LEFT(A807,B807-1)</f>
        <v>铜山-1</v>
      </c>
    </row>
    <row r="808" spans="1:4" x14ac:dyDescent="0.25">
      <c r="A808" t="s">
        <v>1486</v>
      </c>
      <c r="B808">
        <f>FIND(",",A808)</f>
        <v>5</v>
      </c>
      <c r="C808" t="str">
        <f>MID(A808,B808+1,LEN(A808)-B808)</f>
        <v>http://ott.mobaibox.com/PLTV/4/224/3221228153/index.m3u8</v>
      </c>
      <c r="D808" t="str">
        <f>LEFT(A808,B808-1)</f>
        <v>安徽卫视</v>
      </c>
    </row>
    <row r="809" spans="1:4" x14ac:dyDescent="0.25">
      <c r="A809" t="s">
        <v>1318</v>
      </c>
      <c r="B809">
        <f>FIND(",",A809)</f>
        <v>6</v>
      </c>
      <c r="C809" t="str">
        <f>MID(A809,B809+1,LEN(A809)-B809)</f>
        <v>http://ott.mobaibox.com/PLTV/4/224/3221228156/index.m3u8</v>
      </c>
      <c r="D809" t="str">
        <f>LEFT(A809,B809-1)</f>
        <v>CCTV4</v>
      </c>
    </row>
    <row r="810" spans="1:4" x14ac:dyDescent="0.25">
      <c r="A810" t="s">
        <v>1553</v>
      </c>
      <c r="B810">
        <f>FIND(",",A810)</f>
        <v>5</v>
      </c>
      <c r="C810" t="str">
        <f>MID(A810,B810+1,LEN(A810)-B810)</f>
        <v>http://ott.mobaibox.com/PLTV/4/224/3221228159/index.m3u8</v>
      </c>
      <c r="D810" t="str">
        <f>LEFT(A810,B810-1)</f>
        <v>湖北卫视</v>
      </c>
    </row>
    <row r="811" spans="1:4" x14ac:dyDescent="0.25">
      <c r="A811" t="s">
        <v>1568</v>
      </c>
      <c r="B811">
        <f>FIND(",",A811)</f>
        <v>5</v>
      </c>
      <c r="C811" t="str">
        <f>MID(A811,B811+1,LEN(A811)-B811)</f>
        <v>http://ott.mobaibox.com/PLTV/4/224/3221228162/index.m3u8</v>
      </c>
      <c r="D811" t="str">
        <f>LEFT(A811,B811-1)</f>
        <v>辽宁卫视</v>
      </c>
    </row>
    <row r="812" spans="1:4" x14ac:dyDescent="0.25">
      <c r="A812" t="s">
        <v>1427</v>
      </c>
      <c r="B812">
        <f>FIND(",",A812)</f>
        <v>7</v>
      </c>
      <c r="C812" t="str">
        <f>MID(A812,B812+1,LEN(A812)-B812)</f>
        <v>http://ott.mobaibox.com/PLTV/4/224/3221228165/index.m3u8</v>
      </c>
      <c r="D812" t="str">
        <f>LEFT(A812,B812-1)</f>
        <v>CCTV8K</v>
      </c>
    </row>
    <row r="813" spans="1:4" x14ac:dyDescent="0.25">
      <c r="A813" t="s">
        <v>1514</v>
      </c>
      <c r="B813">
        <f>FIND(",",A813)</f>
        <v>5</v>
      </c>
      <c r="C813" t="str">
        <f>MID(A813,B813+1,LEN(A813)-B813)</f>
        <v>http://ott.mobaibox.com/PLTV/4/224/3221228166/index.m3u8</v>
      </c>
      <c r="D813" t="str">
        <f>LEFT(A813,B813-1)</f>
        <v>甘肃卫视</v>
      </c>
    </row>
    <row r="814" spans="1:4" x14ac:dyDescent="0.25">
      <c r="A814" t="s">
        <v>1417</v>
      </c>
      <c r="B814">
        <f>FIND(",",A814)</f>
        <v>10</v>
      </c>
      <c r="C814" t="str">
        <f>MID(A814,B814+1,LEN(A814)-B814)</f>
        <v>http://ott.mobaibox.com/PLTV/4/224/3221228168/index.m3u8</v>
      </c>
      <c r="D814" t="str">
        <f>LEFT(A814,B814-1)</f>
        <v>CCTV16-4K</v>
      </c>
    </row>
    <row r="815" spans="1:4" x14ac:dyDescent="0.25">
      <c r="A815" t="s">
        <v>1615</v>
      </c>
      <c r="B815">
        <f>FIND(",",A815)</f>
        <v>5</v>
      </c>
      <c r="C815" t="str">
        <f>MID(A815,B815+1,LEN(A815)-B815)</f>
        <v>http://ott.mobaibox.com/PLTV/4/224/3221228169/index.m3u8</v>
      </c>
      <c r="D815" t="str">
        <f>LEFT(A815,B815-1)</f>
        <v>云南卫视</v>
      </c>
    </row>
    <row r="816" spans="1:4" x14ac:dyDescent="0.25">
      <c r="A816" t="s">
        <v>1600</v>
      </c>
      <c r="B816">
        <f>FIND(",",A816)</f>
        <v>5</v>
      </c>
      <c r="C816" t="str">
        <f>MID(A816,B816+1,LEN(A816)-B816)</f>
        <v>http://ott.mobaibox.com/PLTV/4/224/3221228171/index.m3u8</v>
      </c>
      <c r="D816" t="str">
        <f>LEFT(A816,B816-1)</f>
        <v>四川卫视</v>
      </c>
    </row>
    <row r="817" spans="1:4" x14ac:dyDescent="0.25">
      <c r="A817" t="s">
        <v>1877</v>
      </c>
      <c r="B817">
        <f>FIND(",",A817)</f>
        <v>8</v>
      </c>
      <c r="C817" t="str">
        <f>MID(A817,B817+1,LEN(A817)-B817)</f>
        <v>http://ott.mobaibox.com/PLTV/4/224/3221228172/index.m3u8</v>
      </c>
      <c r="D817" t="str">
        <f>LEFT(A817,B817-1)</f>
        <v>购物-8172</v>
      </c>
    </row>
    <row r="818" spans="1:4" x14ac:dyDescent="0.25">
      <c r="A818" t="s">
        <v>1329</v>
      </c>
      <c r="B818">
        <f>FIND(",",A818)</f>
        <v>6</v>
      </c>
      <c r="C818" t="str">
        <f>MID(A818,B818+1,LEN(A818)-B818)</f>
        <v>http://ott.mobaibox.com/PLTV/4/224/3221228173/index.m3u8</v>
      </c>
      <c r="D818" t="str">
        <f>LEFT(A818,B818-1)</f>
        <v>CCTV5</v>
      </c>
    </row>
    <row r="819" spans="1:4" x14ac:dyDescent="0.25">
      <c r="A819" t="s">
        <v>1342</v>
      </c>
      <c r="B819">
        <f>FIND(",",A819)</f>
        <v>7</v>
      </c>
      <c r="C819" t="str">
        <f>MID(A819,B819+1,LEN(A819)-B819)</f>
        <v>http://ott.mobaibox.com/PLTV/4/224/3221228176/index.m3u8</v>
      </c>
      <c r="D819" t="str">
        <f>LEFT(A819,B819-1)</f>
        <v>CCTV5+</v>
      </c>
    </row>
    <row r="820" spans="1:4" x14ac:dyDescent="0.25">
      <c r="A820" t="s">
        <v>1330</v>
      </c>
      <c r="B820">
        <f>FIND(",",A820)</f>
        <v>6</v>
      </c>
      <c r="C820" t="str">
        <f>MID(A820,B820+1,LEN(A820)-B820)</f>
        <v>http://ott.mobaibox.com/PLTV/4/224/3221228179/index.m3u8</v>
      </c>
      <c r="D820" t="str">
        <f>LEFT(A820,B820-1)</f>
        <v>CCTV5</v>
      </c>
    </row>
    <row r="821" spans="1:4" x14ac:dyDescent="0.25">
      <c r="A821" t="s">
        <v>1527</v>
      </c>
      <c r="B821">
        <f>FIND(",",A821)</f>
        <v>5</v>
      </c>
      <c r="C821" t="str">
        <f>MID(A821,B821+1,LEN(A821)-B821)</f>
        <v>http://ott.mobaibox.com/PLTV/4/224/3221228183/index.m3u8</v>
      </c>
      <c r="D821" t="str">
        <f>LEFT(A821,B821-1)</f>
        <v>广西卫视</v>
      </c>
    </row>
    <row r="822" spans="1:4" x14ac:dyDescent="0.25">
      <c r="A822" t="s">
        <v>1353</v>
      </c>
      <c r="B822">
        <f>FIND(",",A822)</f>
        <v>6</v>
      </c>
      <c r="C822" t="str">
        <f>MID(A822,B822+1,LEN(A822)-B822)</f>
        <v>http://ott.mobaibox.com/PLTV/4/224/3221228185/index.m3u8</v>
      </c>
      <c r="D822" t="str">
        <f>LEFT(A822,B822-1)</f>
        <v>CCTV6</v>
      </c>
    </row>
    <row r="823" spans="1:4" x14ac:dyDescent="0.25">
      <c r="A823" t="s">
        <v>1307</v>
      </c>
      <c r="B823">
        <f>FIND(",",A823)</f>
        <v>6</v>
      </c>
      <c r="C823" t="str">
        <f>MID(A823,B823+1,LEN(A823)-B823)</f>
        <v>http://ott.mobaibox.com/PLTV/4/224/3221228188/index.m3u8</v>
      </c>
      <c r="D823" t="str">
        <f>LEFT(A823,B823-1)</f>
        <v>CCTV3</v>
      </c>
    </row>
    <row r="824" spans="1:4" x14ac:dyDescent="0.25">
      <c r="A824" t="s">
        <v>1672</v>
      </c>
      <c r="B824">
        <f>FIND(",",A824)</f>
        <v>5</v>
      </c>
      <c r="C824" t="str">
        <f>MID(A824,B824+1,LEN(A824)-B824)</f>
        <v>http://ott.mobaibox.com/PLTV/4/224/3221228193/index.m3u8</v>
      </c>
      <c r="D824" t="str">
        <f>LEFT(A824,B824-1)</f>
        <v>咪咕视频</v>
      </c>
    </row>
    <row r="825" spans="1:4" x14ac:dyDescent="0.25">
      <c r="A825" t="s">
        <v>1372</v>
      </c>
      <c r="B825">
        <f>FIND(",",A825)</f>
        <v>6</v>
      </c>
      <c r="C825" t="str">
        <f>MID(A825,B825+1,LEN(A825)-B825)</f>
        <v>http://ott.mobaibox.com/PLTV/4/224/3221228194/index.m3u8</v>
      </c>
      <c r="D825" t="str">
        <f>LEFT(A825,B825-1)</f>
        <v>CCTV8</v>
      </c>
    </row>
    <row r="826" spans="1:4" x14ac:dyDescent="0.25">
      <c r="A826" t="s">
        <v>1354</v>
      </c>
      <c r="B826">
        <f>FIND(",",A826)</f>
        <v>6</v>
      </c>
      <c r="C826" t="str">
        <f>MID(A826,B826+1,LEN(A826)-B826)</f>
        <v>http://ott.mobaibox.com/PLTV/4/224/3221228196/index.m3u8</v>
      </c>
      <c r="D826" t="str">
        <f>LEFT(A826,B826-1)</f>
        <v>CCTV6</v>
      </c>
    </row>
    <row r="827" spans="1:4" x14ac:dyDescent="0.25">
      <c r="A827" t="s">
        <v>1478</v>
      </c>
      <c r="B827">
        <f>FIND(",",A827)</f>
        <v>5</v>
      </c>
      <c r="C827" t="str">
        <f>MID(A827,B827+1,LEN(A827)-B827)</f>
        <v>http://ott.mobaibox.com/PLTV/4/224/3221228204/index.m3u8</v>
      </c>
      <c r="D827" t="str">
        <f>LEFT(A827,B827-1)</f>
        <v>浙江卫视</v>
      </c>
    </row>
    <row r="828" spans="1:4" x14ac:dyDescent="0.25">
      <c r="A828" t="s">
        <v>1626</v>
      </c>
      <c r="B828">
        <f>FIND(",",A828)</f>
        <v>5</v>
      </c>
      <c r="C828" t="str">
        <f>MID(A828,B828+1,LEN(A828)-B828)</f>
        <v>http://ott.mobaibox.com/PLTV/4/224/3221228206/index.m3u8</v>
      </c>
      <c r="D828" t="str">
        <f>LEFT(A828,B828-1)</f>
        <v>睛彩竞技</v>
      </c>
    </row>
    <row r="829" spans="1:4" x14ac:dyDescent="0.25">
      <c r="A829" t="s">
        <v>1748</v>
      </c>
      <c r="B829">
        <f>FIND(",",A829)</f>
        <v>5</v>
      </c>
      <c r="C829" t="str">
        <f>MID(A829,B829+1,LEN(A829)-B829)</f>
        <v>http://ott.mobaibox.com/PLTV/4/224/3221228208/index.m3u8</v>
      </c>
      <c r="D829" t="str">
        <f>LEFT(A829,B829-1)</f>
        <v>镇江-3</v>
      </c>
    </row>
    <row r="830" spans="1:4" x14ac:dyDescent="0.25">
      <c r="A830" t="s">
        <v>1751</v>
      </c>
      <c r="B830">
        <f>FIND(",",A830)</f>
        <v>5</v>
      </c>
      <c r="C830" t="str">
        <f>MID(A830,B830+1,LEN(A830)-B830)</f>
        <v>http://ott.mobaibox.com/PLTV/4/224/3221228209/index.m3u8</v>
      </c>
      <c r="D830" t="str">
        <f>LEFT(A830,B830-1)</f>
        <v>泰州-1</v>
      </c>
    </row>
    <row r="831" spans="1:4" x14ac:dyDescent="0.25">
      <c r="A831" t="s">
        <v>1878</v>
      </c>
      <c r="B831">
        <f>FIND(",",A831)</f>
        <v>8</v>
      </c>
      <c r="C831" t="str">
        <f>MID(A831,B831+1,LEN(A831)-B831)</f>
        <v>http://ott.mobaibox.com/PLTV/4/224/3221228210/index.m3u8</v>
      </c>
      <c r="D831" t="str">
        <f>LEFT(A831,B831-1)</f>
        <v>购物-8210</v>
      </c>
    </row>
    <row r="832" spans="1:4" x14ac:dyDescent="0.25">
      <c r="A832" t="s">
        <v>1752</v>
      </c>
      <c r="B832">
        <f>FIND(",",A832)</f>
        <v>5</v>
      </c>
      <c r="C832" t="str">
        <f>MID(A832,B832+1,LEN(A832)-B832)</f>
        <v>http://ott.mobaibox.com/PLTV/4/224/3221228212/index.m3u8</v>
      </c>
      <c r="D832" t="str">
        <f>LEFT(A832,B832-1)</f>
        <v>泰州-2</v>
      </c>
    </row>
    <row r="833" spans="1:4" x14ac:dyDescent="0.25">
      <c r="A833" t="s">
        <v>1285</v>
      </c>
      <c r="B833">
        <f>FIND(",",A833)</f>
        <v>6</v>
      </c>
      <c r="C833" t="str">
        <f>MID(A833,B833+1,LEN(A833)-B833)</f>
        <v>http://ott.mobaibox.com/PLTV/4/224/3221228213/index.m3u8</v>
      </c>
      <c r="D833" t="str">
        <f>LEFT(A833,B833-1)</f>
        <v>CCTV1</v>
      </c>
    </row>
    <row r="834" spans="1:4" x14ac:dyDescent="0.25">
      <c r="A834" t="s">
        <v>1759</v>
      </c>
      <c r="B834">
        <f>FIND(",",A834)</f>
        <v>5</v>
      </c>
      <c r="C834" t="str">
        <f>MID(A834,B834+1,LEN(A834)-B834)</f>
        <v>http://ott.mobaibox.com/PLTV/4/224/3221228215/index.m3u8</v>
      </c>
      <c r="D834" t="str">
        <f>LEFT(A834,B834-1)</f>
        <v>淮安综合</v>
      </c>
    </row>
    <row r="835" spans="1:4" x14ac:dyDescent="0.25">
      <c r="A835" t="s">
        <v>1536</v>
      </c>
      <c r="B835">
        <f>FIND(",",A835)</f>
        <v>5</v>
      </c>
      <c r="C835" t="str">
        <f>MID(A835,B835+1,LEN(A835)-B835)</f>
        <v>http://ott.mobaibox.com/PLTV/4/224/3221228221/index.m3u8</v>
      </c>
      <c r="D835" t="str">
        <f>LEFT(A835,B835-1)</f>
        <v>河南卫视</v>
      </c>
    </row>
    <row r="836" spans="1:4" x14ac:dyDescent="0.25">
      <c r="A836" t="s">
        <v>1400</v>
      </c>
      <c r="B836">
        <f>FIND(",",A836)</f>
        <v>7</v>
      </c>
      <c r="C836" t="str">
        <f>MID(A836,B836+1,LEN(A836)-B836)</f>
        <v>http://ott.mobaibox.com/PLTV/4/224/3221228224/index.m3u8</v>
      </c>
      <c r="D836" t="str">
        <f>LEFT(A836,B836-1)</f>
        <v>CCTV13</v>
      </c>
    </row>
    <row r="837" spans="1:4" x14ac:dyDescent="0.25">
      <c r="A837" t="s">
        <v>1470</v>
      </c>
      <c r="B837">
        <f>FIND(",",A837)</f>
        <v>5</v>
      </c>
      <c r="C837" t="str">
        <f>MID(A837,B837+1,LEN(A837)-B837)</f>
        <v>http://ott.mobaibox.com/PLTV/4/224/3221228227/index.m3u8</v>
      </c>
      <c r="D837" t="str">
        <f>LEFT(A837,B837-1)</f>
        <v>湖南卫视</v>
      </c>
    </row>
    <row r="838" spans="1:4" x14ac:dyDescent="0.25">
      <c r="A838" t="s">
        <v>1425</v>
      </c>
      <c r="B838">
        <f>FIND(",",A838)</f>
        <v>7</v>
      </c>
      <c r="C838" t="str">
        <f>MID(A838,B838+1,LEN(A838)-B838)</f>
        <v>http://ott.mobaibox.com/PLTV/4/224/3221228228/index.m3u8</v>
      </c>
      <c r="D838" t="str">
        <f>LEFT(A838,B838-1)</f>
        <v>CCTV4K</v>
      </c>
    </row>
    <row r="839" spans="1:4" x14ac:dyDescent="0.25">
      <c r="A839" t="s">
        <v>1522</v>
      </c>
      <c r="B839">
        <f>FIND(",",A839)</f>
        <v>5</v>
      </c>
      <c r="C839" t="str">
        <f>MID(A839,B839+1,LEN(A839)-B839)</f>
        <v>http://ott.mobaibox.com/PLTV/4/224/3221228230/index.m3u8</v>
      </c>
      <c r="D839" t="str">
        <f>LEFT(A839,B839-1)</f>
        <v>广东卫视</v>
      </c>
    </row>
    <row r="840" spans="1:4" x14ac:dyDescent="0.25">
      <c r="A840" t="s">
        <v>1628</v>
      </c>
      <c r="B840">
        <f>FIND(",",A840)</f>
        <v>6</v>
      </c>
      <c r="C840" t="str">
        <f>MID(A840,B840+1,LEN(A840)-B840)</f>
        <v>http://ott.mobaibox.com/PLTV/4/224/3221228231/index.m3u8</v>
      </c>
      <c r="D840" t="str">
        <f>LEFT(A840,B840-1)</f>
        <v>睛彩广场舞</v>
      </c>
    </row>
    <row r="841" spans="1:4" x14ac:dyDescent="0.25">
      <c r="A841" t="s">
        <v>1544</v>
      </c>
      <c r="B841">
        <f>FIND(",",A841)</f>
        <v>6</v>
      </c>
      <c r="C841" t="str">
        <f>MID(A841,B841+1,LEN(A841)-B841)</f>
        <v>http://ott.mobaibox.com/PLTV/4/224/3221228233/index.m3u8</v>
      </c>
      <c r="D841" t="str">
        <f>LEFT(A841,B841-1)</f>
        <v>黑龙江卫视</v>
      </c>
    </row>
    <row r="842" spans="1:4" x14ac:dyDescent="0.25">
      <c r="A842" t="s">
        <v>1624</v>
      </c>
      <c r="B842">
        <f>FIND(",",A842)</f>
        <v>5</v>
      </c>
      <c r="C842" t="str">
        <f>MID(A842,B842+1,LEN(A842)-B842)</f>
        <v>http://ott.mobaibox.com/PLTV/4/224/3221228234/index.m3u8</v>
      </c>
      <c r="D842" t="str">
        <f>LEFT(A842,B842-1)</f>
        <v>睛彩篮球</v>
      </c>
    </row>
    <row r="843" spans="1:4" x14ac:dyDescent="0.25">
      <c r="A843" t="s">
        <v>1596</v>
      </c>
      <c r="B843">
        <f>FIND(",",A843)</f>
        <v>5</v>
      </c>
      <c r="C843" t="str">
        <f>MID(A843,B843+1,LEN(A843)-B843)</f>
        <v>http://ott.mobaibox.com/PLTV/4/224/3221228236/index.m3u8</v>
      </c>
      <c r="D843" t="str">
        <f>LEFT(A843,B843-1)</f>
        <v>深圳卫视</v>
      </c>
    </row>
    <row r="844" spans="1:4" x14ac:dyDescent="0.25">
      <c r="A844" t="s">
        <v>1308</v>
      </c>
      <c r="B844">
        <f>FIND(",",A844)</f>
        <v>6</v>
      </c>
      <c r="C844" t="str">
        <f>MID(A844,B844+1,LEN(A844)-B844)</f>
        <v>http://ott.mobaibox.com/PLTV/4/224/3221228237/index.m3u8</v>
      </c>
      <c r="D844" t="str">
        <f>LEFT(A844,B844-1)</f>
        <v>CCTV3</v>
      </c>
    </row>
    <row r="845" spans="1:4" x14ac:dyDescent="0.25">
      <c r="A845" t="s">
        <v>1609</v>
      </c>
      <c r="B845">
        <f>FIND(",",A845)</f>
        <v>5</v>
      </c>
      <c r="C845" t="str">
        <f>MID(A845,B845+1,LEN(A845)-B845)</f>
        <v>http://ott.mobaibox.com/PLTV/4/224/3221228239/index.m3u8</v>
      </c>
      <c r="D845" t="str">
        <f>LEFT(A845,B845-1)</f>
        <v>天津卫视</v>
      </c>
    </row>
    <row r="846" spans="1:4" x14ac:dyDescent="0.25">
      <c r="A846" t="s">
        <v>1789</v>
      </c>
      <c r="B846">
        <f>FIND(",",A846)</f>
        <v>8</v>
      </c>
      <c r="C846" t="str">
        <f>MID(A846,B846+1,LEN(A846)-B846)</f>
        <v>http://ott.mobaibox.com/PLTV/4/224/3221228242/index.m3u8</v>
      </c>
      <c r="D846" t="str">
        <f>LEFT(A846,B846-1)</f>
        <v>4KUHD-2</v>
      </c>
    </row>
    <row r="847" spans="1:4" x14ac:dyDescent="0.25">
      <c r="A847" t="s">
        <v>1746</v>
      </c>
      <c r="B847">
        <f>FIND(",",A847)</f>
        <v>5</v>
      </c>
      <c r="C847" t="str">
        <f>MID(A847,B847+1,LEN(A847)-B847)</f>
        <v>http://ott.mobaibox.com/PLTV/4/224/3221228246/index.m3u8</v>
      </c>
      <c r="D847" t="str">
        <f>LEFT(A847,B847-1)</f>
        <v>镇江-1</v>
      </c>
    </row>
    <row r="848" spans="1:4" x14ac:dyDescent="0.25">
      <c r="A848" t="s">
        <v>1738</v>
      </c>
      <c r="B848">
        <f>FIND(",",A848)</f>
        <v>5</v>
      </c>
      <c r="C848" t="str">
        <f>MID(A848,B848+1,LEN(A848)-B848)</f>
        <v>http://ott.mobaibox.com/PLTV/4/224/3221228249/index.m3u8</v>
      </c>
      <c r="D848" t="str">
        <f>LEFT(A848,B848-1)</f>
        <v>铜山-4</v>
      </c>
    </row>
    <row r="849" spans="1:4" x14ac:dyDescent="0.25">
      <c r="A849" t="s">
        <v>1343</v>
      </c>
      <c r="B849">
        <f>FIND(",",A849)</f>
        <v>7</v>
      </c>
      <c r="C849" t="str">
        <f>MID(A849,B849+1,LEN(A849)-B849)</f>
        <v>http://ott.mobaibox.com/PLTV/4/224/3221228277/index.m3u8</v>
      </c>
      <c r="D849" t="str">
        <f>LEFT(A849,B849-1)</f>
        <v>CCTV5+</v>
      </c>
    </row>
    <row r="850" spans="1:4" x14ac:dyDescent="0.25">
      <c r="A850" t="s">
        <v>1355</v>
      </c>
      <c r="B850">
        <f>FIND(",",A850)</f>
        <v>6</v>
      </c>
      <c r="C850" t="str">
        <f>MID(A850,B850+1,LEN(A850)-B850)</f>
        <v>http://ott.mobaibox.com/PLTV/4/224/3221228280/index.m3u8</v>
      </c>
      <c r="D850" t="str">
        <f>LEFT(A850,B850-1)</f>
        <v>CCTV6</v>
      </c>
    </row>
    <row r="851" spans="1:4" x14ac:dyDescent="0.25">
      <c r="A851" t="s">
        <v>1286</v>
      </c>
      <c r="B851">
        <f>FIND(",",A851)</f>
        <v>6</v>
      </c>
      <c r="C851" t="str">
        <f>MID(A851,B851+1,LEN(A851)-B851)</f>
        <v>http://ott.mobaibox.com/PLTV/4/224/3221228287/index.m3u8</v>
      </c>
      <c r="D851" t="str">
        <f>LEFT(A851,B851-1)</f>
        <v>CCTV1</v>
      </c>
    </row>
    <row r="852" spans="1:4" x14ac:dyDescent="0.25">
      <c r="A852" t="s">
        <v>1613</v>
      </c>
      <c r="B852">
        <f>FIND(",",A852)</f>
        <v>5</v>
      </c>
      <c r="C852" t="str">
        <f>MID(A852,B852+1,LEN(A852)-B852)</f>
        <v>http://ott.mobaibox.com/PLTV/4/224/3221228290/index.m3u8</v>
      </c>
      <c r="D852" t="str">
        <f>LEFT(A852,B852-1)</f>
        <v>新疆卫视</v>
      </c>
    </row>
    <row r="853" spans="1:4" x14ac:dyDescent="0.25">
      <c r="A853" t="s">
        <v>1545</v>
      </c>
      <c r="B853">
        <f>FIND(",",A853)</f>
        <v>6</v>
      </c>
      <c r="C853" t="str">
        <f>MID(A853,B853+1,LEN(A853)-B853)</f>
        <v>http://ott.mobaibox.com/PLTV/4/224/3221228295/index.m3u8</v>
      </c>
      <c r="D853" t="str">
        <f>LEFT(A853,B853-1)</f>
        <v>黑龙江卫视</v>
      </c>
    </row>
    <row r="854" spans="1:4" x14ac:dyDescent="0.25">
      <c r="A854" t="s">
        <v>1297</v>
      </c>
      <c r="B854">
        <f>FIND(",",A854)</f>
        <v>6</v>
      </c>
      <c r="C854" t="str">
        <f>MID(A854,B854+1,LEN(A854)-B854)</f>
        <v>http://ott.mobaibox.com/PLTV/4/224/3221228300/index.m3u8</v>
      </c>
      <c r="D854" t="str">
        <f>LEFT(A854,B854-1)</f>
        <v>CCTV2</v>
      </c>
    </row>
    <row r="855" spans="1:4" x14ac:dyDescent="0.25">
      <c r="A855" t="s">
        <v>1456</v>
      </c>
      <c r="B855">
        <f>FIND(",",A855)</f>
        <v>5</v>
      </c>
      <c r="C855" t="str">
        <f>MID(A855,B855+1,LEN(A855)-B855)</f>
        <v>http://ott.mobaibox.com/PLTV/4/224/3221228306/index.m3u8</v>
      </c>
      <c r="D855" t="str">
        <f>LEFT(A855,B855-1)</f>
        <v>江苏卫视</v>
      </c>
    </row>
    <row r="856" spans="1:4" x14ac:dyDescent="0.25">
      <c r="A856" t="s">
        <v>1319</v>
      </c>
      <c r="B856">
        <f>FIND(",",A856)</f>
        <v>6</v>
      </c>
      <c r="C856" t="str">
        <f>MID(A856,B856+1,LEN(A856)-B856)</f>
        <v>http://ott.mobaibox.com/PLTV/4/224/3221228307/index.m3u8</v>
      </c>
      <c r="D856" t="str">
        <f>LEFT(A856,B856-1)</f>
        <v>CCTV4</v>
      </c>
    </row>
    <row r="857" spans="1:4" x14ac:dyDescent="0.25">
      <c r="A857" t="s">
        <v>1479</v>
      </c>
      <c r="B857">
        <f>FIND(",",A857)</f>
        <v>5</v>
      </c>
      <c r="C857" t="str">
        <f>MID(A857,B857+1,LEN(A857)-B857)</f>
        <v>http://ott.mobaibox.com/PLTV/4/224/3221228309/index.m3u8</v>
      </c>
      <c r="D857" t="str">
        <f>LEFT(A857,B857-1)</f>
        <v>浙江卫视</v>
      </c>
    </row>
    <row r="858" spans="1:4" x14ac:dyDescent="0.25">
      <c r="A858" t="s">
        <v>1569</v>
      </c>
      <c r="B858">
        <f>FIND(",",A858)</f>
        <v>5</v>
      </c>
      <c r="C858" t="str">
        <f>MID(A858,B858+1,LEN(A858)-B858)</f>
        <v>http://ott.mobaibox.com/PLTV/4/224/3221228310/index.m3u8</v>
      </c>
      <c r="D858" t="str">
        <f>LEFT(A858,B858-1)</f>
        <v>辽宁卫视</v>
      </c>
    </row>
    <row r="859" spans="1:4" x14ac:dyDescent="0.25">
      <c r="A859" t="s">
        <v>1523</v>
      </c>
      <c r="B859">
        <f>FIND(",",A859)</f>
        <v>5</v>
      </c>
      <c r="C859" t="str">
        <f>MID(A859,B859+1,LEN(A859)-B859)</f>
        <v>http://ott.mobaibox.com/PLTV/4/224/3221228312/index.m3u8</v>
      </c>
      <c r="D859" t="str">
        <f>LEFT(A859,B859-1)</f>
        <v>广东卫视</v>
      </c>
    </row>
    <row r="860" spans="1:4" x14ac:dyDescent="0.25">
      <c r="A860" t="s">
        <v>1418</v>
      </c>
      <c r="B860">
        <f>FIND(",",A860)</f>
        <v>10</v>
      </c>
      <c r="C860" t="str">
        <f>MID(A860,B860+1,LEN(A860)-B860)</f>
        <v>http://ott.mobaibox.com/PLTV/4/224/3221228314/index.m3u8</v>
      </c>
      <c r="D860" t="str">
        <f>LEFT(A860,B860-1)</f>
        <v>CCTV16-4K</v>
      </c>
    </row>
    <row r="861" spans="1:4" x14ac:dyDescent="0.25">
      <c r="A861" t="s">
        <v>1584</v>
      </c>
      <c r="B861">
        <f>FIND(",",A861)</f>
        <v>5</v>
      </c>
      <c r="C861" t="str">
        <f>MID(A861,B861+1,LEN(A861)-B861)</f>
        <v>http://ott.mobaibox.com/PLTV/4/224/3221228315/index.m3u8</v>
      </c>
      <c r="D861" t="str">
        <f>LEFT(A861,B861-1)</f>
        <v>山东卫视</v>
      </c>
    </row>
    <row r="862" spans="1:4" x14ac:dyDescent="0.25">
      <c r="A862" t="s">
        <v>1758</v>
      </c>
      <c r="B862">
        <f>FIND(",",A862)</f>
        <v>3</v>
      </c>
      <c r="C862" t="str">
        <f>MID(A862,B862+1,LEN(A862)-B862)</f>
        <v>http://ott.mobaibox.com/PLTV/4/224/3221228317/index.m3u8</v>
      </c>
      <c r="D862" t="str">
        <f>LEFT(A862,B862-1)</f>
        <v>赣榆</v>
      </c>
    </row>
    <row r="863" spans="1:4" x14ac:dyDescent="0.25">
      <c r="A863" t="s">
        <v>1415</v>
      </c>
      <c r="B863">
        <f>FIND(",",A863)</f>
        <v>7</v>
      </c>
      <c r="C863" t="str">
        <f>MID(A863,B863+1,LEN(A863)-B863)</f>
        <v>http://ott.mobaibox.com/PLTV/4/224/3221228320/index.m3u8</v>
      </c>
      <c r="D863" t="str">
        <f>LEFT(A863,B863-1)</f>
        <v>CCTV16</v>
      </c>
    </row>
    <row r="864" spans="1:4" x14ac:dyDescent="0.25">
      <c r="A864" t="s">
        <v>1750</v>
      </c>
      <c r="B864">
        <f>FIND(",",A864)</f>
        <v>3</v>
      </c>
      <c r="C864" t="str">
        <f>MID(A864,B864+1,LEN(A864)-B864)</f>
        <v>http://ott.mobaibox.com/PLTV/4/224/3221228323/index.m3u8</v>
      </c>
      <c r="D864" t="str">
        <f>LEFT(A864,B864-1)</f>
        <v>江都</v>
      </c>
    </row>
    <row r="865" spans="1:4" x14ac:dyDescent="0.25">
      <c r="A865" t="s">
        <v>1401</v>
      </c>
      <c r="B865">
        <f>FIND(",",A865)</f>
        <v>7</v>
      </c>
      <c r="C865" t="str">
        <f>MID(A865,B865+1,LEN(A865)-B865)</f>
        <v>http://ott.mobaibox.com/PLTV/4/224/3221228324/index.m3u8</v>
      </c>
      <c r="D865" t="str">
        <f>LEFT(A865,B865-1)</f>
        <v>CCTV13</v>
      </c>
    </row>
    <row r="866" spans="1:4" x14ac:dyDescent="0.25">
      <c r="A866" t="s">
        <v>1500</v>
      </c>
      <c r="B866">
        <f>FIND(",",A866)</f>
        <v>6</v>
      </c>
      <c r="C866" t="str">
        <f>MID(A866,B866+1,LEN(A866)-B866)</f>
        <v>http://ott.mobaibox.com/PLTV/4/224/3221228326/index.m3u8</v>
      </c>
      <c r="D866" t="str">
        <f>LEFT(A866,B866-1)</f>
        <v>大湾区卫视</v>
      </c>
    </row>
    <row r="867" spans="1:4" x14ac:dyDescent="0.25">
      <c r="A867" t="s">
        <v>1487</v>
      </c>
      <c r="B867">
        <f>FIND(",",A867)</f>
        <v>5</v>
      </c>
      <c r="C867" t="str">
        <f>MID(A867,B867+1,LEN(A867)-B867)</f>
        <v>http://ott.mobaibox.com/PLTV/4/224/3221228327/index.m3u8</v>
      </c>
      <c r="D867" t="str">
        <f>LEFT(A867,B867-1)</f>
        <v>安徽卫视</v>
      </c>
    </row>
    <row r="868" spans="1:4" x14ac:dyDescent="0.25">
      <c r="A868" t="s">
        <v>1309</v>
      </c>
      <c r="B868">
        <f>FIND(",",A868)</f>
        <v>6</v>
      </c>
      <c r="C868" t="str">
        <f>MID(A868,B868+1,LEN(A868)-B868)</f>
        <v>http://ott.mobaibox.com/PLTV/4/224/3221228392/index.m3u8</v>
      </c>
      <c r="D868" t="str">
        <f>LEFT(A868,B868-1)</f>
        <v>CCTV3</v>
      </c>
    </row>
    <row r="869" spans="1:4" x14ac:dyDescent="0.25">
      <c r="A869" t="s">
        <v>1331</v>
      </c>
      <c r="B869">
        <f>FIND(",",A869)</f>
        <v>6</v>
      </c>
      <c r="C869" t="str">
        <f>MID(A869,B869+1,LEN(A869)-B869)</f>
        <v>http://ott.mobaibox.com/PLTV/4/224/3221228395/index.m3u8</v>
      </c>
      <c r="D869" t="str">
        <f>LEFT(A869,B869-1)</f>
        <v>CCTV5</v>
      </c>
    </row>
    <row r="870" spans="1:4" x14ac:dyDescent="0.25">
      <c r="A870" t="s">
        <v>1373</v>
      </c>
      <c r="B870">
        <f>FIND(",",A870)</f>
        <v>6</v>
      </c>
      <c r="C870" t="str">
        <f>MID(A870,B870+1,LEN(A870)-B870)</f>
        <v>http://ott.mobaibox.com/PLTV/4/224/3221228398/index.m3u8</v>
      </c>
      <c r="D870" t="str">
        <f>LEFT(A870,B870-1)</f>
        <v>CCTV8</v>
      </c>
    </row>
    <row r="871" spans="1:4" x14ac:dyDescent="0.25">
      <c r="A871" t="s">
        <v>1496</v>
      </c>
      <c r="B871">
        <f>FIND(",",A871)</f>
        <v>5</v>
      </c>
      <c r="C871" t="str">
        <f>MID(A871,B871+1,LEN(A871)-B871)</f>
        <v>http://ott.mobaibox.com/PLTV/4/224/3221228410/index.m3u8</v>
      </c>
      <c r="D871" t="str">
        <f>LEFT(A871,B871-1)</f>
        <v>北京卫视</v>
      </c>
    </row>
    <row r="872" spans="1:4" x14ac:dyDescent="0.25">
      <c r="A872" t="s">
        <v>1471</v>
      </c>
      <c r="B872">
        <f>FIND(",",A872)</f>
        <v>5</v>
      </c>
      <c r="C872" t="str">
        <f>MID(A872,B872+1,LEN(A872)-B872)</f>
        <v>http://ott.mobaibox.com/PLTV/4/224/3221228413/index.m3u8</v>
      </c>
      <c r="D872" t="str">
        <f>LEFT(A872,B872-1)</f>
        <v>湖南卫视</v>
      </c>
    </row>
    <row r="873" spans="1:4" x14ac:dyDescent="0.25">
      <c r="A873" t="s">
        <v>1610</v>
      </c>
      <c r="B873">
        <f>FIND(",",A873)</f>
        <v>5</v>
      </c>
      <c r="C873" t="str">
        <f>MID(A873,B873+1,LEN(A873)-B873)</f>
        <v>http://ott.mobaibox.com/PLTV/4/224/3221228416/index.m3u8</v>
      </c>
      <c r="D873" t="str">
        <f>LEFT(A873,B873-1)</f>
        <v>天津卫视</v>
      </c>
    </row>
    <row r="874" spans="1:4" x14ac:dyDescent="0.25">
      <c r="A874" t="s">
        <v>1509</v>
      </c>
      <c r="B874">
        <f>FIND(",",A874)</f>
        <v>5</v>
      </c>
      <c r="C874" t="str">
        <f>MID(A874,B874+1,LEN(A874)-B874)</f>
        <v>http://ott.mobaibox.com/PLTV/4/224/3221228425/index.m3u8</v>
      </c>
      <c r="D874" t="str">
        <f>LEFT(A874,B874-1)</f>
        <v>东方卫视</v>
      </c>
    </row>
    <row r="875" spans="1:4" x14ac:dyDescent="0.25">
      <c r="A875" t="s">
        <v>1621</v>
      </c>
      <c r="B875">
        <f>FIND(",",A875)</f>
        <v>5</v>
      </c>
      <c r="C875" t="str">
        <f>MID(A875,B875+1,LEN(A875)-B875)</f>
        <v>http://ott.mobaibox.com/PLTV/4/224/3221228427/index.m3u8</v>
      </c>
      <c r="D875" t="str">
        <f>LEFT(A875,B875-1)</f>
        <v>睛彩青少</v>
      </c>
    </row>
    <row r="876" spans="1:4" x14ac:dyDescent="0.25">
      <c r="A876" t="s">
        <v>1689</v>
      </c>
      <c r="B876">
        <f>FIND(",",A876)</f>
        <v>5</v>
      </c>
      <c r="C876" t="str">
        <f>MID(A876,B876+1,LEN(A876)-B876)</f>
        <v>http://ott.mobaibox.com/PLTV/4/224/3221228430/index.m3u8</v>
      </c>
      <c r="D876" t="str">
        <f>LEFT(A876,B876-1)</f>
        <v>精品萌宠</v>
      </c>
    </row>
    <row r="877" spans="1:4" x14ac:dyDescent="0.25">
      <c r="A877" t="s">
        <v>1725</v>
      </c>
      <c r="B877">
        <f>FIND(",",A877)</f>
        <v>5</v>
      </c>
      <c r="C877" t="str">
        <f>MID(A877,B877+1,LEN(A877)-B877)</f>
        <v>http://ott.mobaibox.com/PLTV/4/224/3221228433/index.m3u8</v>
      </c>
      <c r="D877" t="str">
        <f>LEFT(A877,B877-1)</f>
        <v>盐城-2</v>
      </c>
    </row>
    <row r="878" spans="1:4" x14ac:dyDescent="0.25">
      <c r="A878" t="s">
        <v>1724</v>
      </c>
      <c r="B878">
        <f>FIND(",",A878)</f>
        <v>5</v>
      </c>
      <c r="C878" t="str">
        <f>MID(A878,B878+1,LEN(A878)-B878)</f>
        <v>http://ott.mobaibox.com/PLTV/4/224/3221228435/index.m3u8</v>
      </c>
      <c r="D878" t="str">
        <f>LEFT(A878,B878-1)</f>
        <v>盐城-1</v>
      </c>
    </row>
    <row r="879" spans="1:4" x14ac:dyDescent="0.25">
      <c r="A879" t="s">
        <v>1726</v>
      </c>
      <c r="B879">
        <f>FIND(",",A879)</f>
        <v>5</v>
      </c>
      <c r="C879" t="str">
        <f>MID(A879,B879+1,LEN(A879)-B879)</f>
        <v>http://ott.mobaibox.com/PLTV/4/224/3221228436/index.m3u8</v>
      </c>
      <c r="D879" t="str">
        <f>LEFT(A879,B879-1)</f>
        <v>盐城-3</v>
      </c>
    </row>
    <row r="880" spans="1:4" x14ac:dyDescent="0.25">
      <c r="A880" t="s">
        <v>1799</v>
      </c>
      <c r="B880">
        <f>FIND(",",A880)</f>
        <v>9</v>
      </c>
      <c r="C880" t="str">
        <f>MID(A880,B880+1,LEN(A880)-B880)</f>
        <v>http://ott.mobaibox.com/PLTV/4/224/3221228441/index.m3u8</v>
      </c>
      <c r="D880" t="str">
        <f>LEFT(A880,B880-1)</f>
        <v>电视剧-8441</v>
      </c>
    </row>
    <row r="881" spans="1:4" x14ac:dyDescent="0.25">
      <c r="A881" t="s">
        <v>1631</v>
      </c>
      <c r="B881">
        <f>FIND(",",A881)</f>
        <v>7</v>
      </c>
      <c r="C881" t="str">
        <f>MID(A881,B881+1,LEN(A881)-B881)</f>
        <v>http://ott.mobaibox.com/PLTV/4/224/3221228444/index.m3u8</v>
      </c>
      <c r="D881" t="str">
        <f>LEFT(A881,B881-1)</f>
        <v>咪咕音乐-1</v>
      </c>
    </row>
    <row r="882" spans="1:4" x14ac:dyDescent="0.25">
      <c r="A882" t="s">
        <v>1694</v>
      </c>
      <c r="B882">
        <f>FIND(",",A882)</f>
        <v>5</v>
      </c>
      <c r="C882" t="str">
        <f>MID(A882,B882+1,LEN(A882)-B882)</f>
        <v>http://ott.mobaibox.com/PLTV/4/224/3221228448/index.m3u8</v>
      </c>
      <c r="D882" t="str">
        <f>LEFT(A882,B882-1)</f>
        <v>南通-2</v>
      </c>
    </row>
    <row r="883" spans="1:4" x14ac:dyDescent="0.25">
      <c r="A883" t="s">
        <v>1695</v>
      </c>
      <c r="B883">
        <f>FIND(",",A883)</f>
        <v>5</v>
      </c>
      <c r="C883" t="str">
        <f>MID(A883,B883+1,LEN(A883)-B883)</f>
        <v>http://ott.mobaibox.com/PLTV/4/224/3221228451/index.m3u8</v>
      </c>
      <c r="D883" t="str">
        <f>LEFT(A883,B883-1)</f>
        <v>崇川公共</v>
      </c>
    </row>
    <row r="884" spans="1:4" x14ac:dyDescent="0.25">
      <c r="A884" t="s">
        <v>1785</v>
      </c>
      <c r="B884">
        <f>FIND(",",A884)</f>
        <v>8</v>
      </c>
      <c r="C884" t="str">
        <f>MID(A884,B884+1,LEN(A884)-B884)</f>
        <v>http://ott.mobaibox.com/PLTV/4/224/3221228454/index.m3u8</v>
      </c>
      <c r="D884" t="str">
        <f>LEFT(A884,B884-1)</f>
        <v>健身-8454</v>
      </c>
    </row>
    <row r="885" spans="1:4" x14ac:dyDescent="0.25">
      <c r="A885" t="s">
        <v>1774</v>
      </c>
      <c r="B885">
        <f>FIND(",",A885)</f>
        <v>8</v>
      </c>
      <c r="C885" t="str">
        <f>MID(A885,B885+1,LEN(A885)-B885)</f>
        <v>http://ott.mobaibox.com/PLTV/4/224/3221228456/index.m3u8</v>
      </c>
      <c r="D885" t="str">
        <f>LEFT(A885,B885-1)</f>
        <v>动画-8456</v>
      </c>
    </row>
    <row r="886" spans="1:4" x14ac:dyDescent="0.25">
      <c r="A886" t="s">
        <v>1775</v>
      </c>
      <c r="B886">
        <f>FIND(",",A886)</f>
        <v>8</v>
      </c>
      <c r="C886" t="str">
        <f>MID(A886,B886+1,LEN(A886)-B886)</f>
        <v>http://ott.mobaibox.com/PLTV/4/224/3221228460/index.m3u8</v>
      </c>
      <c r="D886" t="str">
        <f>LEFT(A886,B886-1)</f>
        <v>动画-8460</v>
      </c>
    </row>
    <row r="887" spans="1:4" x14ac:dyDescent="0.25">
      <c r="A887" t="s">
        <v>1693</v>
      </c>
      <c r="B887">
        <f>FIND(",",A887)</f>
        <v>7</v>
      </c>
      <c r="C887" t="str">
        <f>MID(A887,B887+1,LEN(A887)-B887)</f>
        <v>http://ott.mobaibox.com/PLTV/4/224/3221228462/index.m3u8</v>
      </c>
      <c r="D887" t="str">
        <f>LEFT(A887,B887-1)</f>
        <v>南通新闻综合</v>
      </c>
    </row>
    <row r="888" spans="1:4" x14ac:dyDescent="0.25">
      <c r="A888" t="s">
        <v>1776</v>
      </c>
      <c r="B888">
        <f>FIND(",",A888)</f>
        <v>8</v>
      </c>
      <c r="C888" t="str">
        <f>MID(A888,B888+1,LEN(A888)-B888)</f>
        <v>http://ott.mobaibox.com/PLTV/4/224/3221228463/index.m3u8</v>
      </c>
      <c r="D888" t="str">
        <f>LEFT(A888,B888-1)</f>
        <v>动画-8463</v>
      </c>
    </row>
    <row r="889" spans="1:4" x14ac:dyDescent="0.25">
      <c r="A889" t="s">
        <v>1800</v>
      </c>
      <c r="B889">
        <f>FIND(",",A889)</f>
        <v>9</v>
      </c>
      <c r="C889" t="str">
        <f>MID(A889,B889+1,LEN(A889)-B889)</f>
        <v>http://ott.mobaibox.com/PLTV/4/224/3221228465/index.m3u8</v>
      </c>
      <c r="D889" t="str">
        <f>LEFT(A889,B889-1)</f>
        <v>电视剧-8465</v>
      </c>
    </row>
    <row r="890" spans="1:4" x14ac:dyDescent="0.25">
      <c r="A890" t="s">
        <v>1426</v>
      </c>
      <c r="B890">
        <f>FIND(",",A890)</f>
        <v>7</v>
      </c>
      <c r="C890" t="str">
        <f>MID(A890,B890+1,LEN(A890)-B890)</f>
        <v>http://ott.mobaibox.com/PLTV/4/224/3221228472/index.m3u8</v>
      </c>
      <c r="D890" t="str">
        <f>LEFT(A890,B890-1)</f>
        <v>CCTV4K</v>
      </c>
    </row>
    <row r="891" spans="1:4" x14ac:dyDescent="0.25">
      <c r="A891" t="s">
        <v>1344</v>
      </c>
      <c r="B891">
        <f>FIND(",",A891)</f>
        <v>7</v>
      </c>
      <c r="C891" t="str">
        <f>MID(A891,B891+1,LEN(A891)-B891)</f>
        <v>http://ott.mobaibox.com/PLTV/4/224/3221228492/index.m3u8</v>
      </c>
      <c r="D891" t="str">
        <f>LEFT(A891,B891-1)</f>
        <v>CCTV5+</v>
      </c>
    </row>
    <row r="892" spans="1:4" x14ac:dyDescent="0.25">
      <c r="A892" t="s">
        <v>1310</v>
      </c>
      <c r="B892">
        <f>FIND(",",A892)</f>
        <v>9</v>
      </c>
      <c r="C892" t="str">
        <f>MID(A892,B892+1,LEN(A892)-B892)</f>
        <v>http://ott.mobaibox.com/PLTV/4/224/3221228499/index.m3u8</v>
      </c>
      <c r="D892" t="str">
        <f>LEFT(A892,B892-1)</f>
        <v>CCTV3-4K</v>
      </c>
    </row>
    <row r="893" spans="1:4" x14ac:dyDescent="0.25">
      <c r="A893" t="s">
        <v>1332</v>
      </c>
      <c r="B893">
        <f>FIND(",",A893)</f>
        <v>9</v>
      </c>
      <c r="C893" t="str">
        <f>MID(A893,B893+1,LEN(A893)-B893)</f>
        <v>http://ott.mobaibox.com/PLTV/4/224/3221228502/index.m3u8</v>
      </c>
      <c r="D893" t="str">
        <f>LEFT(A893,B893-1)</f>
        <v>CCTV5-4K</v>
      </c>
    </row>
    <row r="894" spans="1:4" x14ac:dyDescent="0.25">
      <c r="A894" t="s">
        <v>1510</v>
      </c>
      <c r="B894">
        <f>FIND(",",A894)</f>
        <v>5</v>
      </c>
      <c r="C894" t="str">
        <f>MID(A894,B894+1,LEN(A894)-B894)</f>
        <v>http://ott.mobaibox.com/PLTV/4/224/3221228504/index.m3u8</v>
      </c>
      <c r="D894" t="str">
        <f>LEFT(A894,B894-1)</f>
        <v>东方卫视</v>
      </c>
    </row>
    <row r="895" spans="1:4" x14ac:dyDescent="0.25">
      <c r="A895" t="s">
        <v>1902</v>
      </c>
      <c r="B895">
        <f>FIND(",",A895)</f>
        <v>8</v>
      </c>
      <c r="C895" t="str">
        <f>MID(A895,B895+1,LEN(A895)-B895)</f>
        <v>http://ott.mobaibox.com/PLTV/4/224/3221228505/index.m3u8</v>
      </c>
      <c r="D895" t="str">
        <f>LEFT(A895,B895-1)</f>
        <v>广播-8505</v>
      </c>
    </row>
    <row r="896" spans="1:4" x14ac:dyDescent="0.25">
      <c r="A896" t="s">
        <v>1903</v>
      </c>
      <c r="B896">
        <f>FIND(",",A896)</f>
        <v>8</v>
      </c>
      <c r="C896" t="str">
        <f>MID(A896,B896+1,LEN(A896)-B896)</f>
        <v>http://ott.mobaibox.com/PLTV/4/224/3221228508/index.m3u8</v>
      </c>
      <c r="D896" t="str">
        <f>LEFT(A896,B896-1)</f>
        <v>广播-8508</v>
      </c>
    </row>
    <row r="897" spans="1:4" x14ac:dyDescent="0.25">
      <c r="A897" t="s">
        <v>1904</v>
      </c>
      <c r="B897">
        <f>FIND(",",A897)</f>
        <v>8</v>
      </c>
      <c r="C897" t="str">
        <f>MID(A897,B897+1,LEN(A897)-B897)</f>
        <v>http://ott.mobaibox.com/PLTV/4/224/3221228511/index.m3u8</v>
      </c>
      <c r="D897" t="str">
        <f>LEFT(A897,B897-1)</f>
        <v>广播-8511</v>
      </c>
    </row>
    <row r="898" spans="1:4" x14ac:dyDescent="0.25">
      <c r="A898" t="s">
        <v>1769</v>
      </c>
      <c r="B898">
        <f>FIND(",",A898)</f>
        <v>5</v>
      </c>
      <c r="C898" t="str">
        <f>MID(A898,B898+1,LEN(A898)-B898)</f>
        <v>http://ott.mobaibox.com/PLTV/4/224/3221228513/index.m3u8</v>
      </c>
      <c r="D898" t="str">
        <f>LEFT(A898,B898-1)</f>
        <v>天元围棋</v>
      </c>
    </row>
    <row r="899" spans="1:4" x14ac:dyDescent="0.25">
      <c r="A899" t="s">
        <v>1905</v>
      </c>
      <c r="B899">
        <f>FIND(",",A899)</f>
        <v>8</v>
      </c>
      <c r="C899" t="str">
        <f>MID(A899,B899+1,LEN(A899)-B899)</f>
        <v>http://ott.mobaibox.com/PLTV/4/224/3221228514/index.m3u8</v>
      </c>
      <c r="D899" t="str">
        <f>LEFT(A899,B899-1)</f>
        <v>广播-8514</v>
      </c>
    </row>
    <row r="900" spans="1:4" x14ac:dyDescent="0.25">
      <c r="A900" t="s">
        <v>1356</v>
      </c>
      <c r="B900">
        <f>FIND(",",A900)</f>
        <v>6</v>
      </c>
      <c r="C900" t="str">
        <f>MID(A900,B900+1,LEN(A900)-B900)</f>
        <v>http://ott.mobaibox.com/PLTV/4/224/3221228516/index.m3u8</v>
      </c>
      <c r="D900" t="str">
        <f>LEFT(A900,B900-1)</f>
        <v>CCTV6</v>
      </c>
    </row>
    <row r="901" spans="1:4" x14ac:dyDescent="0.25">
      <c r="A901" t="s">
        <v>1906</v>
      </c>
      <c r="B901">
        <f>FIND(",",A901)</f>
        <v>8</v>
      </c>
      <c r="C901" t="str">
        <f>MID(A901,B901+1,LEN(A901)-B901)</f>
        <v>http://ott.mobaibox.com/PLTV/4/224/3221228517/index.m3u8</v>
      </c>
      <c r="D901" t="str">
        <f>LEFT(A901,B901-1)</f>
        <v>广播-8517</v>
      </c>
    </row>
    <row r="902" spans="1:4" x14ac:dyDescent="0.25">
      <c r="A902" t="s">
        <v>1907</v>
      </c>
      <c r="B902">
        <f>FIND(",",A902)</f>
        <v>8</v>
      </c>
      <c r="C902" t="str">
        <f>MID(A902,B902+1,LEN(A902)-B902)</f>
        <v>http://ott.mobaibox.com/PLTV/4/224/3221228519/index.m3u8</v>
      </c>
      <c r="D902" t="str">
        <f>LEFT(A902,B902-1)</f>
        <v>广播-8519</v>
      </c>
    </row>
    <row r="903" spans="1:4" x14ac:dyDescent="0.25">
      <c r="A903" t="s">
        <v>1908</v>
      </c>
      <c r="B903">
        <f>FIND(",",A903)</f>
        <v>8</v>
      </c>
      <c r="C903" t="str">
        <f>MID(A903,B903+1,LEN(A903)-B903)</f>
        <v>http://ott.mobaibox.com/PLTV/4/224/3221228520/index.m3u8</v>
      </c>
      <c r="D903" t="str">
        <f>LEFT(A903,B903-1)</f>
        <v>广播-8520</v>
      </c>
    </row>
    <row r="904" spans="1:4" x14ac:dyDescent="0.25">
      <c r="A904" t="s">
        <v>1909</v>
      </c>
      <c r="B904">
        <f>FIND(",",A904)</f>
        <v>8</v>
      </c>
      <c r="C904" t="str">
        <f>MID(A904,B904+1,LEN(A904)-B904)</f>
        <v>http://ott.mobaibox.com/PLTV/4/224/3221228522/index.m3u8</v>
      </c>
      <c r="D904" t="str">
        <f>LEFT(A904,B904-1)</f>
        <v>广播-8522</v>
      </c>
    </row>
    <row r="905" spans="1:4" x14ac:dyDescent="0.25">
      <c r="A905" t="s">
        <v>1910</v>
      </c>
      <c r="B905">
        <f>FIND(",",A905)</f>
        <v>8</v>
      </c>
      <c r="C905" t="str">
        <f>MID(A905,B905+1,LEN(A905)-B905)</f>
        <v>http://ott.mobaibox.com/PLTV/4/224/3221228523/index.m3u8</v>
      </c>
      <c r="D905" t="str">
        <f>LEFT(A905,B905-1)</f>
        <v>广播-8523</v>
      </c>
    </row>
    <row r="906" spans="1:4" x14ac:dyDescent="0.25">
      <c r="A906" t="s">
        <v>1443</v>
      </c>
      <c r="B906">
        <f>FIND(",",A906)</f>
        <v>5</v>
      </c>
      <c r="C906" t="str">
        <f>MID(A906,B906+1,LEN(A906)-B906)</f>
        <v>http://ott.mobaibox.com/PLTV/4/224/3221228524/index.m3u8</v>
      </c>
      <c r="D906" t="str">
        <f>LEFT(A906,B906-1)</f>
        <v>凤凰资讯</v>
      </c>
    </row>
    <row r="907" spans="1:4" x14ac:dyDescent="0.25">
      <c r="A907" t="s">
        <v>1911</v>
      </c>
      <c r="B907">
        <f>FIND(",",A907)</f>
        <v>8</v>
      </c>
      <c r="C907" t="str">
        <f>MID(A907,B907+1,LEN(A907)-B907)</f>
        <v>http://ott.mobaibox.com/PLTV/4/224/3221228525/index.m3u8</v>
      </c>
      <c r="D907" t="str">
        <f>LEFT(A907,B907-1)</f>
        <v>广播-8525</v>
      </c>
    </row>
    <row r="908" spans="1:4" x14ac:dyDescent="0.25">
      <c r="A908" t="s">
        <v>1912</v>
      </c>
      <c r="B908">
        <f>FIND(",",A908)</f>
        <v>8</v>
      </c>
      <c r="C908" t="str">
        <f>MID(A908,B908+1,LEN(A908)-B908)</f>
        <v>http://ott.mobaibox.com/PLTV/4/224/3221228526/index.m3u8</v>
      </c>
      <c r="D908" t="str">
        <f>LEFT(A908,B908-1)</f>
        <v>广播-8526</v>
      </c>
    </row>
    <row r="909" spans="1:4" x14ac:dyDescent="0.25">
      <c r="A909" t="s">
        <v>1442</v>
      </c>
      <c r="B909">
        <f>FIND(",",A909)</f>
        <v>5</v>
      </c>
      <c r="C909" t="str">
        <f>MID(A909,B909+1,LEN(A909)-B909)</f>
        <v>http://ott.mobaibox.com/PLTV/4/224/3221228527/index.m3u8</v>
      </c>
      <c r="D909" t="str">
        <f>LEFT(A909,B909-1)</f>
        <v>凤凰中文</v>
      </c>
    </row>
    <row r="910" spans="1:4" x14ac:dyDescent="0.25">
      <c r="A910" t="s">
        <v>1913</v>
      </c>
      <c r="B910">
        <f>FIND(",",A910)</f>
        <v>8</v>
      </c>
      <c r="C910" t="str">
        <f>MID(A910,B910+1,LEN(A910)-B910)</f>
        <v>http://ott.mobaibox.com/PLTV/4/224/3221228528/index.m3u8</v>
      </c>
      <c r="D910" t="str">
        <f>LEFT(A910,B910-1)</f>
        <v>广播-8528</v>
      </c>
    </row>
    <row r="911" spans="1:4" x14ac:dyDescent="0.25">
      <c r="A911" t="s">
        <v>1914</v>
      </c>
      <c r="B911">
        <f>FIND(",",A911)</f>
        <v>8</v>
      </c>
      <c r="C911" t="str">
        <f>MID(A911,B911+1,LEN(A911)-B911)</f>
        <v>http://ott.mobaibox.com/PLTV/4/224/3221228529/index.m3u8</v>
      </c>
      <c r="D911" t="str">
        <f>LEFT(A911,B911-1)</f>
        <v>广播-8529</v>
      </c>
    </row>
    <row r="912" spans="1:4" x14ac:dyDescent="0.25">
      <c r="A912" t="s">
        <v>1444</v>
      </c>
      <c r="B912">
        <f>FIND(",",A912)</f>
        <v>5</v>
      </c>
      <c r="C912" t="str">
        <f>MID(A912,B912+1,LEN(A912)-B912)</f>
        <v>http://ott.mobaibox.com/PLTV/4/224/3221228530/index.m3u8</v>
      </c>
      <c r="D912" t="str">
        <f>LEFT(A912,B912-1)</f>
        <v>凤凰香港</v>
      </c>
    </row>
    <row r="913" spans="1:4" x14ac:dyDescent="0.25">
      <c r="A913" t="s">
        <v>1915</v>
      </c>
      <c r="B913">
        <f>FIND(",",A913)</f>
        <v>8</v>
      </c>
      <c r="C913" t="str">
        <f>MID(A913,B913+1,LEN(A913)-B913)</f>
        <v>http://ott.mobaibox.com/PLTV/4/224/3221228531/index.m3u8</v>
      </c>
      <c r="D913" t="str">
        <f>LEFT(A913,B913-1)</f>
        <v>广播-8531</v>
      </c>
    </row>
    <row r="914" spans="1:4" x14ac:dyDescent="0.25">
      <c r="A914" t="s">
        <v>1916</v>
      </c>
      <c r="B914">
        <f>FIND(",",A914)</f>
        <v>8</v>
      </c>
      <c r="C914" t="str">
        <f>MID(A914,B914+1,LEN(A914)-B914)</f>
        <v>http://ott.mobaibox.com/PLTV/4/224/3221228532/index.m3u8</v>
      </c>
      <c r="D914" t="str">
        <f>LEFT(A914,B914-1)</f>
        <v>广播-8532</v>
      </c>
    </row>
    <row r="915" spans="1:4" x14ac:dyDescent="0.25">
      <c r="A915" t="s">
        <v>1917</v>
      </c>
      <c r="B915">
        <f>FIND(",",A915)</f>
        <v>8</v>
      </c>
      <c r="C915" t="str">
        <f>MID(A915,B915+1,LEN(A915)-B915)</f>
        <v>http://ott.mobaibox.com/PLTV/4/224/3221228534/index.m3u8</v>
      </c>
      <c r="D915" t="str">
        <f>LEFT(A915,B915-1)</f>
        <v>广播-8534</v>
      </c>
    </row>
    <row r="916" spans="1:4" x14ac:dyDescent="0.25">
      <c r="A916" t="s">
        <v>1918</v>
      </c>
      <c r="B916">
        <f>FIND(",",A916)</f>
        <v>8</v>
      </c>
      <c r="C916" t="str">
        <f>MID(A916,B916+1,LEN(A916)-B916)</f>
        <v>http://ott.mobaibox.com/PLTV/4/224/3221228535/index.m3u8</v>
      </c>
      <c r="D916" t="str">
        <f>LEFT(A916,B916-1)</f>
        <v>广播-8535</v>
      </c>
    </row>
    <row r="917" spans="1:4" x14ac:dyDescent="0.25">
      <c r="A917" t="s">
        <v>1777</v>
      </c>
      <c r="B917">
        <f>FIND(",",A917)</f>
        <v>8</v>
      </c>
      <c r="C917" t="str">
        <f>MID(A917,B917+1,LEN(A917)-B917)</f>
        <v>http://ott.mobaibox.com/PLTV/4/224/3221228536/index.m3u8</v>
      </c>
      <c r="D917" t="str">
        <f>LEFT(A917,B917-1)</f>
        <v>动画-8536</v>
      </c>
    </row>
    <row r="918" spans="1:4" x14ac:dyDescent="0.25">
      <c r="A918" t="s">
        <v>1919</v>
      </c>
      <c r="B918">
        <f>FIND(",",A918)</f>
        <v>8</v>
      </c>
      <c r="C918" t="str">
        <f>MID(A918,B918+1,LEN(A918)-B918)</f>
        <v>http://ott.mobaibox.com/PLTV/4/224/3221228537/index.m3u8</v>
      </c>
      <c r="D918" t="str">
        <f>LEFT(A918,B918-1)</f>
        <v>广播-8537</v>
      </c>
    </row>
    <row r="919" spans="1:4" x14ac:dyDescent="0.25">
      <c r="A919" t="s">
        <v>1778</v>
      </c>
      <c r="B919">
        <f>FIND(",",A919)</f>
        <v>8</v>
      </c>
      <c r="C919" t="str">
        <f>MID(A919,B919+1,LEN(A919)-B919)</f>
        <v>http://ott.mobaibox.com/PLTV/4/224/3221228539/index.m3u8</v>
      </c>
      <c r="D919" t="str">
        <f>LEFT(A919,B919-1)</f>
        <v>动画-8539</v>
      </c>
    </row>
    <row r="920" spans="1:4" x14ac:dyDescent="0.25">
      <c r="A920" t="s">
        <v>1920</v>
      </c>
      <c r="B920">
        <f>FIND(",",A920)</f>
        <v>8</v>
      </c>
      <c r="C920" t="str">
        <f>MID(A920,B920+1,LEN(A920)-B920)</f>
        <v>http://ott.mobaibox.com/PLTV/4/224/3221228540/index.m3u8</v>
      </c>
      <c r="D920" t="str">
        <f>LEFT(A920,B920-1)</f>
        <v>广播-8540</v>
      </c>
    </row>
    <row r="921" spans="1:4" x14ac:dyDescent="0.25">
      <c r="A921" t="s">
        <v>1921</v>
      </c>
      <c r="B921">
        <f>FIND(",",A921)</f>
        <v>8</v>
      </c>
      <c r="C921" t="str">
        <f>MID(A921,B921+1,LEN(A921)-B921)</f>
        <v>http://ott.mobaibox.com/PLTV/4/224/3221228541/index.m3u8</v>
      </c>
      <c r="D921" t="str">
        <f>LEFT(A921,B921-1)</f>
        <v>广播-8541</v>
      </c>
    </row>
    <row r="922" spans="1:4" x14ac:dyDescent="0.25">
      <c r="A922" t="s">
        <v>1922</v>
      </c>
      <c r="B922">
        <f>FIND(",",A922)</f>
        <v>8</v>
      </c>
      <c r="C922" t="str">
        <f>MID(A922,B922+1,LEN(A922)-B922)</f>
        <v>http://ott.mobaibox.com/PLTV/4/224/3221228543/index.m3u8</v>
      </c>
      <c r="D922" t="str">
        <f>LEFT(A922,B922-1)</f>
        <v>广播-8543</v>
      </c>
    </row>
    <row r="923" spans="1:4" x14ac:dyDescent="0.25">
      <c r="A923" t="s">
        <v>1923</v>
      </c>
      <c r="B923">
        <f>FIND(",",A923)</f>
        <v>8</v>
      </c>
      <c r="C923" t="str">
        <f>MID(A923,B923+1,LEN(A923)-B923)</f>
        <v>http://ott.mobaibox.com/PLTV/4/224/3221228544/index.m3u8</v>
      </c>
      <c r="D923" t="str">
        <f>LEFT(A923,B923-1)</f>
        <v>广播-8544</v>
      </c>
    </row>
    <row r="924" spans="1:4" x14ac:dyDescent="0.25">
      <c r="A924" t="s">
        <v>1924</v>
      </c>
      <c r="B924">
        <f>FIND(",",A924)</f>
        <v>8</v>
      </c>
      <c r="C924" t="str">
        <f>MID(A924,B924+1,LEN(A924)-B924)</f>
        <v>http://ott.mobaibox.com/PLTV/4/224/3221228546/index.m3u8</v>
      </c>
      <c r="D924" t="str">
        <f>LEFT(A924,B924-1)</f>
        <v>广播-8546</v>
      </c>
    </row>
    <row r="925" spans="1:4" x14ac:dyDescent="0.25">
      <c r="A925" t="s">
        <v>1925</v>
      </c>
      <c r="B925">
        <f>FIND(",",A925)</f>
        <v>8</v>
      </c>
      <c r="C925" t="str">
        <f>MID(A925,B925+1,LEN(A925)-B925)</f>
        <v>http://ott.mobaibox.com/PLTV/4/224/3221228547/index.m3u8</v>
      </c>
      <c r="D925" t="str">
        <f>LEFT(A925,B925-1)</f>
        <v>广播-8547</v>
      </c>
    </row>
    <row r="926" spans="1:4" x14ac:dyDescent="0.25">
      <c r="A926" t="s">
        <v>1926</v>
      </c>
      <c r="B926">
        <f>FIND(",",A926)</f>
        <v>8</v>
      </c>
      <c r="C926" t="str">
        <f>MID(A926,B926+1,LEN(A926)-B926)</f>
        <v>http://ott.mobaibox.com/PLTV/4/224/3221228549/index.m3u8</v>
      </c>
      <c r="D926" t="str">
        <f>LEFT(A926,B926-1)</f>
        <v>广播-8549</v>
      </c>
    </row>
    <row r="927" spans="1:4" x14ac:dyDescent="0.25">
      <c r="A927" t="s">
        <v>1393</v>
      </c>
      <c r="B927">
        <f>FIND(",",A927)</f>
        <v>7</v>
      </c>
      <c r="C927" t="str">
        <f>MID(A927,B927+1,LEN(A927)-B927)</f>
        <v>http://ott.mobaibox.com/PLTV/4/224/3221228551/index.m3u8</v>
      </c>
      <c r="D927" t="str">
        <f>LEFT(A927,B927-1)</f>
        <v>CCTV12</v>
      </c>
    </row>
    <row r="928" spans="1:4" x14ac:dyDescent="0.25">
      <c r="A928" t="s">
        <v>1927</v>
      </c>
      <c r="B928">
        <f>FIND(",",A928)</f>
        <v>8</v>
      </c>
      <c r="C928" t="str">
        <f>MID(A928,B928+1,LEN(A928)-B928)</f>
        <v>http://ott.mobaibox.com/PLTV/4/224/3221228552/index.m3u8</v>
      </c>
      <c r="D928" t="str">
        <f>LEFT(A928,B928-1)</f>
        <v>广播-8552</v>
      </c>
    </row>
    <row r="929" spans="1:4" x14ac:dyDescent="0.25">
      <c r="A929" t="s">
        <v>1928</v>
      </c>
      <c r="B929">
        <f>FIND(",",A929)</f>
        <v>8</v>
      </c>
      <c r="C929" t="str">
        <f>MID(A929,B929+1,LEN(A929)-B929)</f>
        <v>http://ott.mobaibox.com/PLTV/4/224/3221228555/index.m3u8</v>
      </c>
      <c r="D929" t="str">
        <f>LEFT(A929,B929-1)</f>
        <v>广播-8555</v>
      </c>
    </row>
    <row r="930" spans="1:4" x14ac:dyDescent="0.25">
      <c r="A930" t="s">
        <v>1929</v>
      </c>
      <c r="B930">
        <f>FIND(",",A930)</f>
        <v>8</v>
      </c>
      <c r="C930" t="str">
        <f>MID(A930,B930+1,LEN(A930)-B930)</f>
        <v>http://ott.mobaibox.com/PLTV/4/224/3221228556/index.m3u8</v>
      </c>
      <c r="D930" t="str">
        <f>LEFT(A930,B930-1)</f>
        <v>广播-8556</v>
      </c>
    </row>
    <row r="931" spans="1:4" x14ac:dyDescent="0.25">
      <c r="A931" t="s">
        <v>1930</v>
      </c>
      <c r="B931">
        <f>FIND(",",A931)</f>
        <v>8</v>
      </c>
      <c r="C931" t="str">
        <f>MID(A931,B931+1,LEN(A931)-B931)</f>
        <v>http://ott.mobaibox.com/PLTV/4/224/3221228558/index.m3u8</v>
      </c>
      <c r="D931" t="str">
        <f>LEFT(A931,B931-1)</f>
        <v>广播-8558</v>
      </c>
    </row>
    <row r="932" spans="1:4" x14ac:dyDescent="0.25">
      <c r="A932" t="s">
        <v>1845</v>
      </c>
      <c r="B932">
        <f>FIND(",",A932)</f>
        <v>8</v>
      </c>
      <c r="C932" t="str">
        <f>MID(A932,B932+1,LEN(A932)-B932)</f>
        <v>http://ott.mobaibox.com/PLTV/4/224/3221228559/index.m3u8</v>
      </c>
      <c r="D932" t="str">
        <f>LEFT(A932,B932-1)</f>
        <v>记录-8559</v>
      </c>
    </row>
    <row r="933" spans="1:4" x14ac:dyDescent="0.25">
      <c r="A933" t="s">
        <v>1585</v>
      </c>
      <c r="B933">
        <f>FIND(",",A933)</f>
        <v>5</v>
      </c>
      <c r="C933" t="str">
        <f>MID(A933,B933+1,LEN(A933)-B933)</f>
        <v>http://ott.mobaibox.com/PLTV/4/224/3221228560/index.m3u8</v>
      </c>
      <c r="D933" t="str">
        <f>LEFT(A933,B933-1)</f>
        <v>山东卫视</v>
      </c>
    </row>
    <row r="934" spans="1:4" x14ac:dyDescent="0.25">
      <c r="A934" t="s">
        <v>1931</v>
      </c>
      <c r="B934">
        <f>FIND(",",A934)</f>
        <v>8</v>
      </c>
      <c r="C934" t="str">
        <f>MID(A934,B934+1,LEN(A934)-B934)</f>
        <v>http://ott.mobaibox.com/PLTV/4/224/3221228561/index.m3u8</v>
      </c>
      <c r="D934" t="str">
        <f>LEFT(A934,B934-1)</f>
        <v>广播-8561</v>
      </c>
    </row>
    <row r="935" spans="1:4" x14ac:dyDescent="0.25">
      <c r="A935" t="s">
        <v>1846</v>
      </c>
      <c r="B935">
        <f>FIND(",",A935)</f>
        <v>8</v>
      </c>
      <c r="C935" t="str">
        <f>MID(A935,B935+1,LEN(A935)-B935)</f>
        <v>http://ott.mobaibox.com/PLTV/4/224/3221228562/index.m3u8</v>
      </c>
      <c r="D935" t="str">
        <f>LEFT(A935,B935-1)</f>
        <v>记录-8562</v>
      </c>
    </row>
    <row r="936" spans="1:4" x14ac:dyDescent="0.25">
      <c r="A936" t="s">
        <v>1932</v>
      </c>
      <c r="B936">
        <f>FIND(",",A936)</f>
        <v>8</v>
      </c>
      <c r="C936" t="str">
        <f>MID(A936,B936+1,LEN(A936)-B936)</f>
        <v>http://ott.mobaibox.com/PLTV/4/224/3221228564/index.m3u8</v>
      </c>
      <c r="D936" t="str">
        <f>LEFT(A936,B936-1)</f>
        <v>广播-8564</v>
      </c>
    </row>
    <row r="937" spans="1:4" x14ac:dyDescent="0.25">
      <c r="A937" t="s">
        <v>1524</v>
      </c>
      <c r="B937">
        <f>FIND(",",A937)</f>
        <v>5</v>
      </c>
      <c r="C937" t="str">
        <f>MID(A937,B937+1,LEN(A937)-B937)</f>
        <v>http://ott.mobaibox.com/PLTV/4/224/3221228566/index.m3u8</v>
      </c>
      <c r="D937" t="str">
        <f>LEFT(A937,B937-1)</f>
        <v>广东卫视</v>
      </c>
    </row>
    <row r="938" spans="1:4" x14ac:dyDescent="0.25">
      <c r="A938" t="s">
        <v>1933</v>
      </c>
      <c r="B938">
        <f>FIND(",",A938)</f>
        <v>8</v>
      </c>
      <c r="C938" t="str">
        <f>MID(A938,B938+1,LEN(A938)-B938)</f>
        <v>http://ott.mobaibox.com/PLTV/4/224/3221228567/index.m3u8</v>
      </c>
      <c r="D938" t="str">
        <f>LEFT(A938,B938-1)</f>
        <v>广播-8567</v>
      </c>
    </row>
    <row r="939" spans="1:4" x14ac:dyDescent="0.25">
      <c r="A939" t="s">
        <v>1597</v>
      </c>
      <c r="B939">
        <f>FIND(",",A939)</f>
        <v>5</v>
      </c>
      <c r="C939" t="str">
        <f>MID(A939,B939+1,LEN(A939)-B939)</f>
        <v>http://ott.mobaibox.com/PLTV/4/224/3221228569/index.m3u8</v>
      </c>
      <c r="D939" t="str">
        <f>LEFT(A939,B939-1)</f>
        <v>深圳卫视</v>
      </c>
    </row>
    <row r="940" spans="1:4" x14ac:dyDescent="0.25">
      <c r="A940" t="s">
        <v>1934</v>
      </c>
      <c r="B940">
        <f>FIND(",",A940)</f>
        <v>8</v>
      </c>
      <c r="C940" t="str">
        <f>MID(A940,B940+1,LEN(A940)-B940)</f>
        <v>http://ott.mobaibox.com/PLTV/4/224/3221228570/index.m3u8</v>
      </c>
      <c r="D940" t="str">
        <f>LEFT(A940,B940-1)</f>
        <v>广播-8570</v>
      </c>
    </row>
    <row r="941" spans="1:4" x14ac:dyDescent="0.25">
      <c r="A941" t="s">
        <v>1879</v>
      </c>
      <c r="B941">
        <f>FIND(",",A941)</f>
        <v>8</v>
      </c>
      <c r="C941" t="str">
        <f>MID(A941,B941+1,LEN(A941)-B941)</f>
        <v>http://ott.mobaibox.com/PLTV/4/224/3221228576/index.m3u8</v>
      </c>
      <c r="D941" t="str">
        <f>LEFT(A941,B941-1)</f>
        <v>购物-8576</v>
      </c>
    </row>
    <row r="942" spans="1:4" x14ac:dyDescent="0.25">
      <c r="A942" t="s">
        <v>1374</v>
      </c>
      <c r="B942">
        <f>FIND(",",A942)</f>
        <v>6</v>
      </c>
      <c r="C942" t="str">
        <f>MID(A942,B942+1,LEN(A942)-B942)</f>
        <v>http://ott.mobaibox.com/PLTV/4/224/3221228578/index.m3u8</v>
      </c>
      <c r="D942" t="str">
        <f>LEFT(A942,B942-1)</f>
        <v>CCTV8</v>
      </c>
    </row>
    <row r="943" spans="1:4" x14ac:dyDescent="0.25">
      <c r="A943" t="s">
        <v>1779</v>
      </c>
      <c r="B943">
        <f>FIND(",",A943)</f>
        <v>8</v>
      </c>
      <c r="C943" t="str">
        <f>MID(A943,B943+1,LEN(A943)-B943)</f>
        <v>http://ott.mobaibox.com/PLTV/4/224/3221228579/index.m3u8</v>
      </c>
      <c r="D943" t="str">
        <f>LEFT(A943,B943-1)</f>
        <v>动画-8579</v>
      </c>
    </row>
    <row r="944" spans="1:4" x14ac:dyDescent="0.25">
      <c r="A944" t="s">
        <v>1287</v>
      </c>
      <c r="B944">
        <f>FIND(",",A944)</f>
        <v>9</v>
      </c>
      <c r="C944" t="str">
        <f>MID(A944,B944+1,LEN(A944)-B944)</f>
        <v>http://ott.mobaibox.com/PLTV/4/224/3221228581/index.m3u8</v>
      </c>
      <c r="D944" t="str">
        <f>LEFT(A944,B944-1)</f>
        <v>CCTV1-4K</v>
      </c>
    </row>
    <row r="945" spans="1:4" x14ac:dyDescent="0.25">
      <c r="A945" t="s">
        <v>1801</v>
      </c>
      <c r="B945">
        <f>FIND(",",A945)</f>
        <v>9</v>
      </c>
      <c r="C945" t="str">
        <f>MID(A945,B945+1,LEN(A945)-B945)</f>
        <v>http://ott.mobaibox.com/PLTV/4/224/3221228582/index.m3u8</v>
      </c>
      <c r="D945" t="str">
        <f>LEFT(A945,B945-1)</f>
        <v>电视剧-8582</v>
      </c>
    </row>
    <row r="946" spans="1:4" x14ac:dyDescent="0.25">
      <c r="A946" t="s">
        <v>1851</v>
      </c>
      <c r="B946">
        <f>FIND(",",A946)</f>
        <v>8</v>
      </c>
      <c r="C946" t="str">
        <f>MID(A946,B946+1,LEN(A946)-B946)</f>
        <v>http://ott.mobaibox.com/PLTV/4/224/3221228586/index.m3u8</v>
      </c>
      <c r="D946" t="str">
        <f>LEFT(A946,B946-1)</f>
        <v>棋牌-8586</v>
      </c>
    </row>
    <row r="947" spans="1:4" x14ac:dyDescent="0.25">
      <c r="A947" t="s">
        <v>1935</v>
      </c>
      <c r="B947">
        <f>FIND(",",A947)</f>
        <v>8</v>
      </c>
      <c r="C947" t="str">
        <f>MID(A947,B947+1,LEN(A947)-B947)</f>
        <v>http://ott.mobaibox.com/PLTV/4/224/3221228587/index.m3u8</v>
      </c>
      <c r="D947" t="str">
        <f>LEFT(A947,B947-1)</f>
        <v>广播-8587</v>
      </c>
    </row>
    <row r="948" spans="1:4" x14ac:dyDescent="0.25">
      <c r="A948" t="s">
        <v>1847</v>
      </c>
      <c r="B948">
        <f>FIND(",",A948)</f>
        <v>8</v>
      </c>
      <c r="C948" t="str">
        <f>MID(A948,B948+1,LEN(A948)-B948)</f>
        <v>http://ott.mobaibox.com/PLTV/4/224/3221228588/index.m3u8</v>
      </c>
      <c r="D948" t="str">
        <f>LEFT(A948,B948-1)</f>
        <v>记录-8588</v>
      </c>
    </row>
    <row r="949" spans="1:4" x14ac:dyDescent="0.25">
      <c r="A949" t="s">
        <v>1791</v>
      </c>
      <c r="B949">
        <f>FIND(",",A949)</f>
        <v>10</v>
      </c>
      <c r="C949" t="str">
        <f>MID(A949,B949+1,LEN(A949)-B949)</f>
        <v>http://ott.mobaibox.com/PLTV/4/224/3221228589/index.m3u8</v>
      </c>
      <c r="D949" t="str">
        <f>LEFT(A949,B949-1)</f>
        <v>4K演示-8589</v>
      </c>
    </row>
    <row r="950" spans="1:4" x14ac:dyDescent="0.25">
      <c r="A950" t="s">
        <v>1936</v>
      </c>
      <c r="B950">
        <f>FIND(",",A950)</f>
        <v>8</v>
      </c>
      <c r="C950" t="str">
        <f>MID(A950,B950+1,LEN(A950)-B950)</f>
        <v>http://ott.mobaibox.com/PLTV/4/224/3221228590/index.m3u8</v>
      </c>
      <c r="D950" t="str">
        <f>LEFT(A950,B950-1)</f>
        <v>广播-8590</v>
      </c>
    </row>
    <row r="951" spans="1:4" x14ac:dyDescent="0.25">
      <c r="A951" t="s">
        <v>1871</v>
      </c>
      <c r="B951">
        <f>FIND(",",A951)</f>
        <v>5</v>
      </c>
      <c r="C951" t="str">
        <f>MID(A951,B951+1,LEN(A951)-B951)</f>
        <v>http://ott.mobaibox.com/PLTV/4/224/3221228591/index.m3u8</v>
      </c>
      <c r="D951" t="str">
        <f>LEFT(A951,B951-1)</f>
        <v>8591</v>
      </c>
    </row>
    <row r="952" spans="1:4" x14ac:dyDescent="0.25">
      <c r="A952" t="s">
        <v>1771</v>
      </c>
      <c r="B952">
        <f>FIND(",",A952)</f>
        <v>8</v>
      </c>
      <c r="C952" t="str">
        <f>MID(A952,B952+1,LEN(A952)-B952)</f>
        <v>http://ott.mobaibox.com/PLTV/4/224/3221228592/index.m3u8</v>
      </c>
      <c r="D952" t="str">
        <f>LEFT(A952,B952-1)</f>
        <v>音乐-8592</v>
      </c>
    </row>
    <row r="953" spans="1:4" x14ac:dyDescent="0.25">
      <c r="A953" t="s">
        <v>1937</v>
      </c>
      <c r="B953">
        <f>FIND(",",A953)</f>
        <v>8</v>
      </c>
      <c r="C953" t="str">
        <f>MID(A953,B953+1,LEN(A953)-B953)</f>
        <v>http://ott.mobaibox.com/PLTV/4/224/3221228593/index.m3u8</v>
      </c>
      <c r="D953" t="str">
        <f>LEFT(A953,B953-1)</f>
        <v>广播-8593</v>
      </c>
    </row>
    <row r="954" spans="1:4" x14ac:dyDescent="0.25">
      <c r="A954" t="s">
        <v>1802</v>
      </c>
      <c r="B954">
        <f>FIND(",",A954)</f>
        <v>9</v>
      </c>
      <c r="C954" t="str">
        <f>MID(A954,B954+1,LEN(A954)-B954)</f>
        <v>http://ott.mobaibox.com/PLTV/4/224/3221228595/index.m3u8</v>
      </c>
      <c r="D954" t="str">
        <f>LEFT(A954,B954-1)</f>
        <v>电视剧-8595</v>
      </c>
    </row>
    <row r="955" spans="1:4" x14ac:dyDescent="0.25">
      <c r="A955" t="s">
        <v>1938</v>
      </c>
      <c r="B955">
        <f>FIND(",",A955)</f>
        <v>8</v>
      </c>
      <c r="C955" t="str">
        <f>MID(A955,B955+1,LEN(A955)-B955)</f>
        <v>http://ott.mobaibox.com/PLTV/4/224/3221228596/index.m3u8</v>
      </c>
      <c r="D955" t="str">
        <f>LEFT(A955,B955-1)</f>
        <v>广播-8596</v>
      </c>
    </row>
    <row r="956" spans="1:4" x14ac:dyDescent="0.25">
      <c r="A956" t="s">
        <v>1803</v>
      </c>
      <c r="B956">
        <f>FIND(",",A956)</f>
        <v>9</v>
      </c>
      <c r="C956" t="str">
        <f>MID(A956,B956+1,LEN(A956)-B956)</f>
        <v>http://ott.mobaibox.com/PLTV/4/224/3221228598/index.m3u8</v>
      </c>
      <c r="D956" t="str">
        <f>LEFT(A956,B956-1)</f>
        <v>电视剧-8598</v>
      </c>
    </row>
    <row r="957" spans="1:4" x14ac:dyDescent="0.25">
      <c r="A957" t="s">
        <v>1939</v>
      </c>
      <c r="B957">
        <f>FIND(",",A957)</f>
        <v>8</v>
      </c>
      <c r="C957" t="str">
        <f>MID(A957,B957+1,LEN(A957)-B957)</f>
        <v>http://ott.mobaibox.com/PLTV/4/224/3221228599/index.m3u8</v>
      </c>
      <c r="D957" t="str">
        <f>LEFT(A957,B957-1)</f>
        <v>广播-8599</v>
      </c>
    </row>
    <row r="958" spans="1:4" x14ac:dyDescent="0.25">
      <c r="A958" t="s">
        <v>1940</v>
      </c>
      <c r="B958">
        <f>FIND(",",A958)</f>
        <v>8</v>
      </c>
      <c r="C958" t="str">
        <f>MID(A958,B958+1,LEN(A958)-B958)</f>
        <v>http://ott.mobaibox.com/PLTV/4/224/3221228602/index.m3u8</v>
      </c>
      <c r="D958" t="str">
        <f>LEFT(A958,B958-1)</f>
        <v>广播-8602</v>
      </c>
    </row>
    <row r="959" spans="1:4" x14ac:dyDescent="0.25">
      <c r="A959" t="s">
        <v>1780</v>
      </c>
      <c r="B959">
        <f>FIND(",",A959)</f>
        <v>8</v>
      </c>
      <c r="C959" t="str">
        <f>MID(A959,B959+1,LEN(A959)-B959)</f>
        <v>http://ott.mobaibox.com/PLTV/4/224/3221228603/index.m3u8</v>
      </c>
      <c r="D959" t="str">
        <f>LEFT(A959,B959-1)</f>
        <v>动画-8603</v>
      </c>
    </row>
    <row r="960" spans="1:4" x14ac:dyDescent="0.25">
      <c r="A960" t="s">
        <v>1804</v>
      </c>
      <c r="B960">
        <f>FIND(",",A960)</f>
        <v>9</v>
      </c>
      <c r="C960" t="str">
        <f>MID(A960,B960+1,LEN(A960)-B960)</f>
        <v>http://ott.mobaibox.com/PLTV/4/224/3221228604/index.m3u8</v>
      </c>
      <c r="D960" t="str">
        <f>LEFT(A960,B960-1)</f>
        <v>电视剧-8604</v>
      </c>
    </row>
    <row r="961" spans="1:4" x14ac:dyDescent="0.25">
      <c r="A961" t="s">
        <v>1941</v>
      </c>
      <c r="B961">
        <f>FIND(",",A961)</f>
        <v>8</v>
      </c>
      <c r="C961" t="str">
        <f>MID(A961,B961+1,LEN(A961)-B961)</f>
        <v>http://ott.mobaibox.com/PLTV/4/224/3221228605/index.m3u8</v>
      </c>
      <c r="D961" t="str">
        <f>LEFT(A961,B961-1)</f>
        <v>广播-8605</v>
      </c>
    </row>
    <row r="962" spans="1:4" x14ac:dyDescent="0.25">
      <c r="A962" t="s">
        <v>1805</v>
      </c>
      <c r="B962">
        <f>FIND(",",A962)</f>
        <v>9</v>
      </c>
      <c r="C962" t="str">
        <f>MID(A962,B962+1,LEN(A962)-B962)</f>
        <v>http://ott.mobaibox.com/PLTV/4/224/3221228607/index.m3u8</v>
      </c>
      <c r="D962" t="str">
        <f>LEFT(A962,B962-1)</f>
        <v>电视剧-8607</v>
      </c>
    </row>
    <row r="963" spans="1:4" x14ac:dyDescent="0.25">
      <c r="A963" t="s">
        <v>1942</v>
      </c>
      <c r="B963">
        <f>FIND(",",A963)</f>
        <v>8</v>
      </c>
      <c r="C963" t="str">
        <f>MID(A963,B963+1,LEN(A963)-B963)</f>
        <v>http://ott.mobaibox.com/PLTV/4/224/3221228608/index.m3u8</v>
      </c>
      <c r="D963" t="str">
        <f>LEFT(A963,B963-1)</f>
        <v>广播-8608</v>
      </c>
    </row>
    <row r="964" spans="1:4" x14ac:dyDescent="0.25">
      <c r="A964" t="s">
        <v>1806</v>
      </c>
      <c r="B964">
        <f>FIND(",",A964)</f>
        <v>9</v>
      </c>
      <c r="C964" t="str">
        <f>MID(A964,B964+1,LEN(A964)-B964)</f>
        <v>http://ott.mobaibox.com/PLTV/4/224/3221228609/index.m3u8</v>
      </c>
      <c r="D964" t="str">
        <f>LEFT(A964,B964-1)</f>
        <v>电视剧-8609</v>
      </c>
    </row>
    <row r="965" spans="1:4" x14ac:dyDescent="0.25">
      <c r="A965" t="s">
        <v>1807</v>
      </c>
      <c r="B965">
        <f>FIND(",",A965)</f>
        <v>9</v>
      </c>
      <c r="C965" t="str">
        <f>MID(A965,B965+1,LEN(A965)-B965)</f>
        <v>http://ott.mobaibox.com/PLTV/4/224/3221228610/index.m3u8</v>
      </c>
      <c r="D965" t="str">
        <f>LEFT(A965,B965-1)</f>
        <v>电视剧-8610</v>
      </c>
    </row>
    <row r="966" spans="1:4" x14ac:dyDescent="0.25">
      <c r="A966" t="s">
        <v>1943</v>
      </c>
      <c r="B966">
        <f>FIND(",",A966)</f>
        <v>8</v>
      </c>
      <c r="C966" t="str">
        <f>MID(A966,B966+1,LEN(A966)-B966)</f>
        <v>http://ott.mobaibox.com/PLTV/4/224/3221228611/index.m3u8</v>
      </c>
      <c r="D966" t="str">
        <f>LEFT(A966,B966-1)</f>
        <v>广播-8611</v>
      </c>
    </row>
    <row r="967" spans="1:4" x14ac:dyDescent="0.25">
      <c r="A967" t="s">
        <v>1873</v>
      </c>
      <c r="B967">
        <f>FIND(",",A967)</f>
        <v>9</v>
      </c>
      <c r="C967" t="str">
        <f>MID(A967,B967+1,LEN(A967)-B967)</f>
        <v>http://ott.mobaibox.com/PLTV/4/224/3221228612/index.m3u8</v>
      </c>
      <c r="D967" t="str">
        <f>LEFT(A967,B967-1)</f>
        <v>南京长江大桥直播</v>
      </c>
    </row>
    <row r="968" spans="1:4" x14ac:dyDescent="0.25">
      <c r="A968" t="s">
        <v>1704</v>
      </c>
      <c r="B968">
        <f>FIND(",",A968)</f>
        <v>5</v>
      </c>
      <c r="C968" t="str">
        <f>MID(A968,B968+1,LEN(A968)-B968)</f>
        <v>http://ott.mobaibox.com/PLTV/4/224/3221228613/index.m3u8</v>
      </c>
      <c r="D968" t="str">
        <f>LEFT(A968,B968-1)</f>
        <v>江苏教育</v>
      </c>
    </row>
    <row r="969" spans="1:4" x14ac:dyDescent="0.25">
      <c r="A969" t="s">
        <v>1944</v>
      </c>
      <c r="B969">
        <f>FIND(",",A969)</f>
        <v>8</v>
      </c>
      <c r="C969" t="str">
        <f>MID(A969,B969+1,LEN(A969)-B969)</f>
        <v>http://ott.mobaibox.com/PLTV/4/224/3221228614/index.m3u8</v>
      </c>
      <c r="D969" t="str">
        <f>LEFT(A969,B969-1)</f>
        <v>广播-8614</v>
      </c>
    </row>
    <row r="970" spans="1:4" x14ac:dyDescent="0.25">
      <c r="A970" t="s">
        <v>1808</v>
      </c>
      <c r="B970">
        <f>FIND(",",A970)</f>
        <v>9</v>
      </c>
      <c r="C970" t="str">
        <f>MID(A970,B970+1,LEN(A970)-B970)</f>
        <v>http://ott.mobaibox.com/PLTV/4/224/3221228615/index.m3u8</v>
      </c>
      <c r="D970" t="str">
        <f>LEFT(A970,B970-1)</f>
        <v>电视剧-8615</v>
      </c>
    </row>
    <row r="971" spans="1:4" x14ac:dyDescent="0.25">
      <c r="A971" t="s">
        <v>1298</v>
      </c>
      <c r="B971">
        <f>FIND(",",A971)</f>
        <v>6</v>
      </c>
      <c r="C971" t="str">
        <f>MID(A971,B971+1,LEN(A971)-B971)</f>
        <v>http://ott.mobaibox.com/PLTV/4/224/3221228616/index.m3u8</v>
      </c>
      <c r="D971" t="str">
        <f>LEFT(A971,B971-1)</f>
        <v>CCTV2</v>
      </c>
    </row>
    <row r="972" spans="1:4" x14ac:dyDescent="0.25">
      <c r="A972" t="s">
        <v>1945</v>
      </c>
      <c r="B972">
        <f>FIND(",",A972)</f>
        <v>8</v>
      </c>
      <c r="C972" t="str">
        <f>MID(A972,B972+1,LEN(A972)-B972)</f>
        <v>http://ott.mobaibox.com/PLTV/4/224/3221228617/index.m3u8</v>
      </c>
      <c r="D972" t="str">
        <f>LEFT(A972,B972-1)</f>
        <v>广播-8617</v>
      </c>
    </row>
    <row r="973" spans="1:4" x14ac:dyDescent="0.25">
      <c r="A973" t="s">
        <v>1809</v>
      </c>
      <c r="B973">
        <f>FIND(",",A973)</f>
        <v>9</v>
      </c>
      <c r="C973" t="str">
        <f>MID(A973,B973+1,LEN(A973)-B973)</f>
        <v>http://ott.mobaibox.com/PLTV/4/224/3221228618/index.m3u8</v>
      </c>
      <c r="D973" t="str">
        <f>LEFT(A973,B973-1)</f>
        <v>电视剧-8618</v>
      </c>
    </row>
    <row r="974" spans="1:4" x14ac:dyDescent="0.25">
      <c r="A974" t="s">
        <v>1379</v>
      </c>
      <c r="B974">
        <f>FIND(",",A974)</f>
        <v>6</v>
      </c>
      <c r="C974" t="str">
        <f>MID(A974,B974+1,LEN(A974)-B974)</f>
        <v>http://ott.mobaibox.com/PLTV/4/224/3221228619/index.m3u8</v>
      </c>
      <c r="D974" t="str">
        <f>LEFT(A974,B974-1)</f>
        <v>CCTV9</v>
      </c>
    </row>
    <row r="975" spans="1:4" x14ac:dyDescent="0.25">
      <c r="A975" t="s">
        <v>1946</v>
      </c>
      <c r="B975">
        <f>FIND(",",A975)</f>
        <v>8</v>
      </c>
      <c r="C975" t="str">
        <f>MID(A975,B975+1,LEN(A975)-B975)</f>
        <v>http://ott.mobaibox.com/PLTV/4/224/3221228620/index.m3u8</v>
      </c>
      <c r="D975" t="str">
        <f>LEFT(A975,B975-1)</f>
        <v>广播-8620</v>
      </c>
    </row>
    <row r="976" spans="1:4" x14ac:dyDescent="0.25">
      <c r="A976" t="s">
        <v>1810</v>
      </c>
      <c r="B976">
        <f>FIND(",",A976)</f>
        <v>9</v>
      </c>
      <c r="C976" t="str">
        <f>MID(A976,B976+1,LEN(A976)-B976)</f>
        <v>http://ott.mobaibox.com/PLTV/4/224/3221228621/index.m3u8</v>
      </c>
      <c r="D976" t="str">
        <f>LEFT(A976,B976-1)</f>
        <v>电视剧-8621</v>
      </c>
    </row>
    <row r="977" spans="1:4" x14ac:dyDescent="0.25">
      <c r="A977" t="s">
        <v>1411</v>
      </c>
      <c r="B977">
        <f>FIND(",",A977)</f>
        <v>7</v>
      </c>
      <c r="C977" t="str">
        <f>MID(A977,B977+1,LEN(A977)-B977)</f>
        <v>http://ott.mobaibox.com/PLTV/4/224/3221228622/index.m3u8</v>
      </c>
      <c r="D977" t="str">
        <f>LEFT(A977,B977-1)</f>
        <v>CCTV15</v>
      </c>
    </row>
    <row r="978" spans="1:4" x14ac:dyDescent="0.25">
      <c r="A978" t="s">
        <v>1947</v>
      </c>
      <c r="B978">
        <f>FIND(",",A978)</f>
        <v>8</v>
      </c>
      <c r="C978" t="str">
        <f>MID(A978,B978+1,LEN(A978)-B978)</f>
        <v>http://ott.mobaibox.com/PLTV/4/224/3221228623/index.m3u8</v>
      </c>
      <c r="D978" t="str">
        <f>LEFT(A978,B978-1)</f>
        <v>广播-8623</v>
      </c>
    </row>
    <row r="979" spans="1:4" x14ac:dyDescent="0.25">
      <c r="A979" t="s">
        <v>1811</v>
      </c>
      <c r="B979">
        <f>FIND(",",A979)</f>
        <v>9</v>
      </c>
      <c r="C979" t="str">
        <f>MID(A979,B979+1,LEN(A979)-B979)</f>
        <v>http://ott.mobaibox.com/PLTV/4/224/3221228624/index.m3u8</v>
      </c>
      <c r="D979" t="str">
        <f>LEFT(A979,B979-1)</f>
        <v>电视剧-8624</v>
      </c>
    </row>
    <row r="980" spans="1:4" x14ac:dyDescent="0.25">
      <c r="A980" t="s">
        <v>1416</v>
      </c>
      <c r="B980">
        <f>FIND(",",A980)</f>
        <v>7</v>
      </c>
      <c r="C980" t="str">
        <f>MID(A980,B980+1,LEN(A980)-B980)</f>
        <v>http://ott.mobaibox.com/PLTV/4/224/3221228625/index.m3u8</v>
      </c>
      <c r="D980" t="str">
        <f>LEFT(A980,B980-1)</f>
        <v>CCTV16</v>
      </c>
    </row>
    <row r="981" spans="1:4" x14ac:dyDescent="0.25">
      <c r="A981" t="s">
        <v>1574</v>
      </c>
      <c r="B981">
        <f>FIND(",",A981)</f>
        <v>5</v>
      </c>
      <c r="C981" t="str">
        <f>MID(A981,B981+1,LEN(A981)-B981)</f>
        <v>http://ott.mobaibox.com/PLTV/4/224/3221228626/index.m3u8</v>
      </c>
      <c r="D981" t="str">
        <f>LEFT(A981,B981-1)</f>
        <v>三沙卫视</v>
      </c>
    </row>
    <row r="982" spans="1:4" x14ac:dyDescent="0.25">
      <c r="A982" t="s">
        <v>1812</v>
      </c>
      <c r="B982">
        <f>FIND(",",A982)</f>
        <v>9</v>
      </c>
      <c r="C982" t="str">
        <f>MID(A982,B982+1,LEN(A982)-B982)</f>
        <v>http://ott.mobaibox.com/PLTV/4/224/3221228627/index.m3u8</v>
      </c>
      <c r="D982" t="str">
        <f>LEFT(A982,B982-1)</f>
        <v>电视剧-8627</v>
      </c>
    </row>
    <row r="983" spans="1:4" x14ac:dyDescent="0.25">
      <c r="A983" t="s">
        <v>1423</v>
      </c>
      <c r="B983">
        <f>FIND(",",A983)</f>
        <v>7</v>
      </c>
      <c r="C983" t="str">
        <f>MID(A983,B983+1,LEN(A983)-B983)</f>
        <v>http://ott.mobaibox.com/PLTV/4/224/3221228628/index.m3u8</v>
      </c>
      <c r="D983" t="str">
        <f>LEFT(A983,B983-1)</f>
        <v>CCTV17</v>
      </c>
    </row>
    <row r="984" spans="1:4" x14ac:dyDescent="0.25">
      <c r="A984" t="s">
        <v>1394</v>
      </c>
      <c r="B984">
        <f>FIND(",",A984)</f>
        <v>7</v>
      </c>
      <c r="C984" t="str">
        <f>MID(A984,B984+1,LEN(A984)-B984)</f>
        <v>http://ott.mobaibox.com/PLTV/4/224/3221228630/index.m3u8</v>
      </c>
      <c r="D984" t="str">
        <f>LEFT(A984,B984-1)</f>
        <v>CCTV12</v>
      </c>
    </row>
    <row r="985" spans="1:4" x14ac:dyDescent="0.25">
      <c r="A985" t="s">
        <v>1556</v>
      </c>
      <c r="B985">
        <f>FIND(",",A985)</f>
        <v>5</v>
      </c>
      <c r="C985" t="str">
        <f>MID(A985,B985+1,LEN(A985)-B985)</f>
        <v>http://ott.mobaibox.com/PLTV/4/224/3221228631/index.m3u8</v>
      </c>
      <c r="D985" t="str">
        <f>LEFT(A985,B985-1)</f>
        <v>吉林卫视</v>
      </c>
    </row>
    <row r="986" spans="1:4" x14ac:dyDescent="0.25">
      <c r="A986" t="s">
        <v>1407</v>
      </c>
      <c r="B986">
        <f>FIND(",",A986)</f>
        <v>7</v>
      </c>
      <c r="C986" t="str">
        <f>MID(A986,B986+1,LEN(A986)-B986)</f>
        <v>http://ott.mobaibox.com/PLTV/4/224/3221228633/index.m3u8</v>
      </c>
      <c r="D986" t="str">
        <f>LEFT(A986,B986-1)</f>
        <v>CCTV14</v>
      </c>
    </row>
    <row r="987" spans="1:4" x14ac:dyDescent="0.25">
      <c r="A987" t="s">
        <v>1530</v>
      </c>
      <c r="B987">
        <f>FIND(",",A987)</f>
        <v>5</v>
      </c>
      <c r="C987" t="str">
        <f>MID(A987,B987+1,LEN(A987)-B987)</f>
        <v>http://ott.mobaibox.com/PLTV/4/224/3221228634/index.m3u8</v>
      </c>
      <c r="D987" t="str">
        <f>LEFT(A987,B987-1)</f>
        <v>贵州卫视</v>
      </c>
    </row>
    <row r="988" spans="1:4" x14ac:dyDescent="0.25">
      <c r="A988" t="s">
        <v>1786</v>
      </c>
      <c r="B988">
        <f>FIND(",",A988)</f>
        <v>8</v>
      </c>
      <c r="C988" t="str">
        <f>MID(A988,B988+1,LEN(A988)-B988)</f>
        <v>http://ott.mobaibox.com/PLTV/4/224/3221228635/index.m3u8</v>
      </c>
      <c r="D988" t="str">
        <f>LEFT(A988,B988-1)</f>
        <v>健身-8635</v>
      </c>
    </row>
    <row r="989" spans="1:4" x14ac:dyDescent="0.25">
      <c r="A989" t="s">
        <v>1408</v>
      </c>
      <c r="B989">
        <f>FIND(",",A989)</f>
        <v>7</v>
      </c>
      <c r="C989" t="str">
        <f>MID(A989,B989+1,LEN(A989)-B989)</f>
        <v>http://ott.mobaibox.com/PLTV/4/224/3221228636/index.m3u8</v>
      </c>
      <c r="D989" t="str">
        <f>LEFT(A989,B989-1)</f>
        <v>CCTV14</v>
      </c>
    </row>
    <row r="990" spans="1:4" x14ac:dyDescent="0.25">
      <c r="A990" t="s">
        <v>1870</v>
      </c>
      <c r="B990">
        <f>FIND(",",A990)</f>
        <v>5</v>
      </c>
      <c r="C990" t="str">
        <f>MID(A990,B990+1,LEN(A990)-B990)</f>
        <v>http://ott.mobaibox.com/PLTV/4/224/3221228637/index.m3u8</v>
      </c>
      <c r="D990" t="str">
        <f>LEFT(A990,B990-1)</f>
        <v>8637</v>
      </c>
    </row>
    <row r="991" spans="1:4" x14ac:dyDescent="0.25">
      <c r="A991" t="s">
        <v>1781</v>
      </c>
      <c r="B991">
        <f>FIND(",",A991)</f>
        <v>10</v>
      </c>
      <c r="C991" t="str">
        <f>MID(A991,B991+1,LEN(A991)-B991)</f>
        <v>http://ott.mobaibox.com/PLTV/4/224/3221228638/index.m3u8</v>
      </c>
      <c r="D991" t="str">
        <f>LEFT(A991,B991-1)</f>
        <v>亲宝玩具-8638</v>
      </c>
    </row>
    <row r="992" spans="1:4" x14ac:dyDescent="0.25">
      <c r="A992" t="s">
        <v>1412</v>
      </c>
      <c r="B992">
        <f>FIND(",",A992)</f>
        <v>7</v>
      </c>
      <c r="C992" t="str">
        <f>MID(A992,B992+1,LEN(A992)-B992)</f>
        <v>http://ott.mobaibox.com/PLTV/4/224/3221228639/index.m3u8</v>
      </c>
      <c r="D992" t="str">
        <f>LEFT(A992,B992-1)</f>
        <v>CCTV15</v>
      </c>
    </row>
    <row r="993" spans="1:4" x14ac:dyDescent="0.25">
      <c r="A993" t="s">
        <v>1361</v>
      </c>
      <c r="B993">
        <f>FIND(",",A993)</f>
        <v>6</v>
      </c>
      <c r="C993" t="str">
        <f>MID(A993,B993+1,LEN(A993)-B993)</f>
        <v>http://ott.mobaibox.com/PLTV/4/224/3221228640/index.m3u8</v>
      </c>
      <c r="D993" t="str">
        <f>LEFT(A993,B993-1)</f>
        <v>CCTV7</v>
      </c>
    </row>
    <row r="994" spans="1:4" x14ac:dyDescent="0.25">
      <c r="A994" t="s">
        <v>1772</v>
      </c>
      <c r="B994">
        <f>FIND(",",A994)</f>
        <v>8</v>
      </c>
      <c r="C994" t="str">
        <f>MID(A994,B994+1,LEN(A994)-B994)</f>
        <v>http://ott.mobaibox.com/PLTV/4/224/3221228641/index.m3u8</v>
      </c>
      <c r="D994" t="str">
        <f>LEFT(A994,B994-1)</f>
        <v>音乐-8641</v>
      </c>
    </row>
    <row r="995" spans="1:4" x14ac:dyDescent="0.25">
      <c r="A995" t="s">
        <v>1424</v>
      </c>
      <c r="B995">
        <f>FIND(",",A995)</f>
        <v>7</v>
      </c>
      <c r="C995" t="str">
        <f>MID(A995,B995+1,LEN(A995)-B995)</f>
        <v>http://ott.mobaibox.com/PLTV/4/224/3221228642/index.m3u8</v>
      </c>
      <c r="D995" t="str">
        <f>LEFT(A995,B995-1)</f>
        <v>CCTV17</v>
      </c>
    </row>
    <row r="996" spans="1:4" x14ac:dyDescent="0.25">
      <c r="A996" t="s">
        <v>1362</v>
      </c>
      <c r="B996">
        <f>FIND(",",A996)</f>
        <v>6</v>
      </c>
      <c r="C996" t="str">
        <f>MID(A996,B996+1,LEN(A996)-B996)</f>
        <v>http://ott.mobaibox.com/PLTV/4/224/3221228643/index.m3u8</v>
      </c>
      <c r="D996" t="str">
        <f>LEFT(A996,B996-1)</f>
        <v>CCTV7</v>
      </c>
    </row>
    <row r="997" spans="1:4" x14ac:dyDescent="0.25">
      <c r="A997" t="s">
        <v>1813</v>
      </c>
      <c r="B997">
        <f>FIND(",",A997)</f>
        <v>9</v>
      </c>
      <c r="C997" t="str">
        <f>MID(A997,B997+1,LEN(A997)-B997)</f>
        <v>http://ott.mobaibox.com/PLTV/4/224/3221228644/index.m3u8</v>
      </c>
      <c r="D997" t="str">
        <f>LEFT(A997,B997-1)</f>
        <v>电视剧-8644</v>
      </c>
    </row>
    <row r="998" spans="1:4" x14ac:dyDescent="0.25">
      <c r="A998" t="s">
        <v>1488</v>
      </c>
      <c r="B998">
        <f>FIND(",",A998)</f>
        <v>5</v>
      </c>
      <c r="C998" t="str">
        <f>MID(A998,B998+1,LEN(A998)-B998)</f>
        <v>http://ott.mobaibox.com/PLTV/4/224/3221228645/index.m3u8</v>
      </c>
      <c r="D998" t="str">
        <f>LEFT(A998,B998-1)</f>
        <v>安徽卫视</v>
      </c>
    </row>
    <row r="999" spans="1:4" x14ac:dyDescent="0.25">
      <c r="A999" t="s">
        <v>1395</v>
      </c>
      <c r="B999">
        <f>FIND(",",A999)</f>
        <v>7</v>
      </c>
      <c r="C999" t="str">
        <f>MID(A999,B999+1,LEN(A999)-B999)</f>
        <v>http://ott.mobaibox.com/PLTV/4/224/3221228646/index.m3u8</v>
      </c>
      <c r="D999" t="str">
        <f>LEFT(A999,B999-1)</f>
        <v>CCTV12</v>
      </c>
    </row>
    <row r="1000" spans="1:4" x14ac:dyDescent="0.25">
      <c r="A1000" t="s">
        <v>1601</v>
      </c>
      <c r="B1000">
        <f>FIND(",",A1000)</f>
        <v>5</v>
      </c>
      <c r="C1000" t="str">
        <f>MID(A1000,B1000+1,LEN(A1000)-B1000)</f>
        <v>http://ott.mobaibox.com/PLTV/4/224/3221228648/index.m3u8</v>
      </c>
      <c r="D1000" t="str">
        <f>LEFT(A1000,B1000-1)</f>
        <v>四川卫视</v>
      </c>
    </row>
    <row r="1001" spans="1:4" x14ac:dyDescent="0.25">
      <c r="A1001" t="s">
        <v>1402</v>
      </c>
      <c r="B1001">
        <f>FIND(",",A1001)</f>
        <v>7</v>
      </c>
      <c r="C1001" t="str">
        <f>MID(A1001,B1001+1,LEN(A1001)-B1001)</f>
        <v>http://ott.mobaibox.com/PLTV/4/224/3221228649/index.m3u8</v>
      </c>
      <c r="D1001" t="str">
        <f>LEFT(A1001,B1001-1)</f>
        <v>CCTV13</v>
      </c>
    </row>
    <row r="1002" spans="1:4" x14ac:dyDescent="0.25">
      <c r="A1002" t="s">
        <v>1620</v>
      </c>
      <c r="B1002">
        <f>FIND(",",A1002)</f>
        <v>5</v>
      </c>
      <c r="C1002" t="str">
        <f>MID(A1002,B1002+1,LEN(A1002)-B1002)</f>
        <v>http://ott.mobaibox.com/PLTV/4/224/3221228651/index.m3u8</v>
      </c>
      <c r="D1002" t="str">
        <f>LEFT(A1002,B1002-1)</f>
        <v>重庆卫视</v>
      </c>
    </row>
    <row r="1003" spans="1:4" x14ac:dyDescent="0.25">
      <c r="A1003" t="s">
        <v>1457</v>
      </c>
      <c r="B1003">
        <f>FIND(",",A1003)</f>
        <v>5</v>
      </c>
      <c r="C1003" t="str">
        <f>MID(A1003,B1003+1,LEN(A1003)-B1003)</f>
        <v>http://ott.mobaibox.com/PLTV/4/224/3221228652/index.m3u8</v>
      </c>
      <c r="D1003" t="str">
        <f>LEFT(A1003,B1003-1)</f>
        <v>江苏卫视</v>
      </c>
    </row>
    <row r="1004" spans="1:4" x14ac:dyDescent="0.25">
      <c r="A1004" t="s">
        <v>1880</v>
      </c>
      <c r="B1004">
        <f>FIND(",",A1004)</f>
        <v>8</v>
      </c>
      <c r="C1004" t="str">
        <f>MID(A1004,B1004+1,LEN(A1004)-B1004)</f>
        <v>http://ott.mobaibox.com/PLTV/4/224/3221228653/index.m3u8</v>
      </c>
      <c r="D1004" t="str">
        <f>LEFT(A1004,B1004-1)</f>
        <v>购物-8653</v>
      </c>
    </row>
    <row r="1005" spans="1:4" x14ac:dyDescent="0.25">
      <c r="A1005" t="s">
        <v>1385</v>
      </c>
      <c r="B1005">
        <f>FIND(",",A1005)</f>
        <v>7</v>
      </c>
      <c r="C1005" t="str">
        <f>MID(A1005,B1005+1,LEN(A1005)-B1005)</f>
        <v>http://ott.mobaibox.com/PLTV/4/224/3221228654/index.m3u8</v>
      </c>
      <c r="D1005" t="str">
        <f>LEFT(A1005,B1005-1)</f>
        <v>CCTV10</v>
      </c>
    </row>
    <row r="1006" spans="1:4" x14ac:dyDescent="0.25">
      <c r="A1006" t="s">
        <v>1458</v>
      </c>
      <c r="B1006">
        <f>FIND(",",A1006)</f>
        <v>5</v>
      </c>
      <c r="C1006" t="str">
        <f>MID(A1006,B1006+1,LEN(A1006)-B1006)</f>
        <v>http://ott.mobaibox.com/PLTV/4/224/3221228655/index.m3u8</v>
      </c>
      <c r="D1006" t="str">
        <f>LEFT(A1006,B1006-1)</f>
        <v>江苏卫视</v>
      </c>
    </row>
    <row r="1007" spans="1:4" x14ac:dyDescent="0.25">
      <c r="A1007" t="s">
        <v>1881</v>
      </c>
      <c r="B1007">
        <f>FIND(",",A1007)</f>
        <v>8</v>
      </c>
      <c r="C1007" t="str">
        <f>MID(A1007,B1007+1,LEN(A1007)-B1007)</f>
        <v>http://ott.mobaibox.com/PLTV/4/224/3221228656/index.m3u8</v>
      </c>
      <c r="D1007" t="str">
        <f>LEFT(A1007,B1007-1)</f>
        <v>购物-8656</v>
      </c>
    </row>
    <row r="1008" spans="1:4" x14ac:dyDescent="0.25">
      <c r="A1008" t="s">
        <v>1396</v>
      </c>
      <c r="B1008">
        <f>FIND(",",A1008)</f>
        <v>7</v>
      </c>
      <c r="C1008" t="str">
        <f>MID(A1008,B1008+1,LEN(A1008)-B1008)</f>
        <v>http://ott.mobaibox.com/PLTV/4/224/3221228657/index.m3u8</v>
      </c>
      <c r="D1008" t="str">
        <f>LEFT(A1008,B1008-1)</f>
        <v>CCTV12</v>
      </c>
    </row>
    <row r="1009" spans="1:4" x14ac:dyDescent="0.25">
      <c r="A1009" t="s">
        <v>1432</v>
      </c>
      <c r="B1009">
        <f>FIND(",",A1009)</f>
        <v>9</v>
      </c>
      <c r="C1009" t="str">
        <f>MID(A1009,B1009+1,LEN(A1009)-B1009)</f>
        <v>http://ott.mobaibox.com/PLTV/4/224/3221228659/index.m3u8</v>
      </c>
      <c r="D1009" t="str">
        <f>LEFT(A1009,B1009-1)</f>
        <v>CCTV第一剧场</v>
      </c>
    </row>
    <row r="1010" spans="1:4" x14ac:dyDescent="0.25">
      <c r="A1010" t="s">
        <v>1403</v>
      </c>
      <c r="B1010">
        <f>FIND(",",A1010)</f>
        <v>7</v>
      </c>
      <c r="C1010" t="str">
        <f>MID(A1010,B1010+1,LEN(A1010)-B1010)</f>
        <v>http://ott.mobaibox.com/PLTV/4/224/3221228660/index.m3u8</v>
      </c>
      <c r="D1010" t="str">
        <f>LEFT(A1010,B1010-1)</f>
        <v>CCTV13</v>
      </c>
    </row>
    <row r="1011" spans="1:4" x14ac:dyDescent="0.25">
      <c r="A1011" t="s">
        <v>1459</v>
      </c>
      <c r="B1011">
        <f>FIND(",",A1011)</f>
        <v>5</v>
      </c>
      <c r="C1011" t="str">
        <f>MID(A1011,B1011+1,LEN(A1011)-B1011)</f>
        <v>http://ott.mobaibox.com/PLTV/4/224/3221228661/index.m3u8</v>
      </c>
      <c r="D1011" t="str">
        <f>LEFT(A1011,B1011-1)</f>
        <v>江苏卫视</v>
      </c>
    </row>
    <row r="1012" spans="1:4" x14ac:dyDescent="0.25">
      <c r="A1012" t="s">
        <v>1433</v>
      </c>
      <c r="B1012">
        <f>FIND(",",A1012)</f>
        <v>9</v>
      </c>
      <c r="C1012" t="str">
        <f>MID(A1012,B1012+1,LEN(A1012)-B1012)</f>
        <v>http://ott.mobaibox.com/PLTV/4/224/3221228662/index.m3u8</v>
      </c>
      <c r="D1012" t="str">
        <f>LEFT(A1012,B1012-1)</f>
        <v>CCTV风云剧场</v>
      </c>
    </row>
    <row r="1013" spans="1:4" x14ac:dyDescent="0.25">
      <c r="A1013" t="s">
        <v>1814</v>
      </c>
      <c r="B1013">
        <f>FIND(",",A1013)</f>
        <v>9</v>
      </c>
      <c r="C1013" t="str">
        <f>MID(A1013,B1013+1,LEN(A1013)-B1013)</f>
        <v>http://ott.mobaibox.com/PLTV/4/224/3221228663/index.m3u8</v>
      </c>
      <c r="D1013" t="str">
        <f>LEFT(A1013,B1013-1)</f>
        <v>电视剧-8663</v>
      </c>
    </row>
    <row r="1014" spans="1:4" x14ac:dyDescent="0.25">
      <c r="A1014" t="s">
        <v>2067</v>
      </c>
      <c r="B1014">
        <f>FIND(",",A1014)</f>
        <v>9</v>
      </c>
      <c r="C1014" t="str">
        <f>MID(A1014,B1014+1,LEN(A1014)-B1014)</f>
        <v>http://ott.mobaibox.com/PLTV/4/224/3221228664/index.m3u8</v>
      </c>
      <c r="D1014" t="str">
        <f>LEFT(A1014,B1014-1)</f>
        <v>电视剧-8664</v>
      </c>
    </row>
    <row r="1015" spans="1:4" x14ac:dyDescent="0.25">
      <c r="A1015" t="s">
        <v>1430</v>
      </c>
      <c r="B1015">
        <f>FIND(",",A1015)</f>
        <v>9</v>
      </c>
      <c r="C1015" t="str">
        <f>MID(A1015,B1015+1,LEN(A1015)-B1015)</f>
        <v>http://ott.mobaibox.com/PLTV/4/224/3221228665/index.m3u8</v>
      </c>
      <c r="D1015" t="str">
        <f>LEFT(A1015,B1015-1)</f>
        <v>CCTV风云音乐</v>
      </c>
    </row>
    <row r="1016" spans="1:4" x14ac:dyDescent="0.25">
      <c r="A1016" t="s">
        <v>1815</v>
      </c>
      <c r="B1016">
        <f>FIND(",",A1016)</f>
        <v>9</v>
      </c>
      <c r="C1016" t="str">
        <f>MID(A1016,B1016+1,LEN(A1016)-B1016)</f>
        <v>http://ott.mobaibox.com/PLTV/4/224/3221228666/index.m3u8</v>
      </c>
      <c r="D1016" t="str">
        <f>LEFT(A1016,B1016-1)</f>
        <v>电视剧-8666</v>
      </c>
    </row>
    <row r="1017" spans="1:4" x14ac:dyDescent="0.25">
      <c r="A1017" t="s">
        <v>1434</v>
      </c>
      <c r="B1017">
        <f>FIND(",",A1017)</f>
        <v>9</v>
      </c>
      <c r="C1017" t="str">
        <f>MID(A1017,B1017+1,LEN(A1017)-B1017)</f>
        <v>http://ott.mobaibox.com/PLTV/4/224/3221228668/index.m3u8</v>
      </c>
      <c r="D1017" t="str">
        <f>LEFT(A1017,B1017-1)</f>
        <v>CCTV风云足球</v>
      </c>
    </row>
    <row r="1018" spans="1:4" x14ac:dyDescent="0.25">
      <c r="A1018" t="s">
        <v>1816</v>
      </c>
      <c r="B1018">
        <f>FIND(",",A1018)</f>
        <v>9</v>
      </c>
      <c r="C1018" t="str">
        <f>MID(A1018,B1018+1,LEN(A1018)-B1018)</f>
        <v>http://ott.mobaibox.com/PLTV/4/224/3221228669/index.m3u8</v>
      </c>
      <c r="D1018" t="str">
        <f>LEFT(A1018,B1018-1)</f>
        <v>电视剧-8669</v>
      </c>
    </row>
    <row r="1019" spans="1:4" x14ac:dyDescent="0.25">
      <c r="A1019" t="s">
        <v>1431</v>
      </c>
      <c r="B1019">
        <f>FIND(",",A1019)</f>
        <v>9</v>
      </c>
      <c r="C1019" t="str">
        <f>MID(A1019,B1019+1,LEN(A1019)-B1019)</f>
        <v>http://ott.mobaibox.com/PLTV/4/224/3221228671/index.m3u8</v>
      </c>
      <c r="D1019" t="str">
        <f>LEFT(A1019,B1019-1)</f>
        <v>CCTV怀旧剧场</v>
      </c>
    </row>
    <row r="1020" spans="1:4" x14ac:dyDescent="0.25">
      <c r="A1020" t="s">
        <v>1853</v>
      </c>
      <c r="B1020">
        <f>FIND(",",A1020)</f>
        <v>8</v>
      </c>
      <c r="C1020" t="str">
        <f>MID(A1020,B1020+1,LEN(A1020)-B1020)</f>
        <v>http://ott.mobaibox.com/PLTV/4/224/3221228673/index.m3u8</v>
      </c>
      <c r="D1020" t="str">
        <f>LEFT(A1020,B1020-1)</f>
        <v>戏曲-8673</v>
      </c>
    </row>
    <row r="1021" spans="1:4" x14ac:dyDescent="0.25">
      <c r="A1021" t="s">
        <v>1435</v>
      </c>
      <c r="B1021">
        <f>FIND(",",A1021)</f>
        <v>9</v>
      </c>
      <c r="C1021" t="str">
        <f>MID(A1021,B1021+1,LEN(A1021)-B1021)</f>
        <v>http://ott.mobaibox.com/PLTV/4/224/3221228674/index.m3u8</v>
      </c>
      <c r="D1021" t="str">
        <f>LEFT(A1021,B1021-1)</f>
        <v>CCTV女性时尚</v>
      </c>
    </row>
    <row r="1022" spans="1:4" x14ac:dyDescent="0.25">
      <c r="A1022" t="s">
        <v>1817</v>
      </c>
      <c r="B1022">
        <f>FIND(",",A1022)</f>
        <v>9</v>
      </c>
      <c r="C1022" t="str">
        <f>MID(A1022,B1022+1,LEN(A1022)-B1022)</f>
        <v>http://ott.mobaibox.com/PLTV/4/224/3221228676/index.m3u8</v>
      </c>
      <c r="D1022" t="str">
        <f>LEFT(A1022,B1022-1)</f>
        <v>电视剧-8676</v>
      </c>
    </row>
    <row r="1023" spans="1:4" x14ac:dyDescent="0.25">
      <c r="A1023" t="s">
        <v>1436</v>
      </c>
      <c r="B1023">
        <f>FIND(",",A1023)</f>
        <v>9</v>
      </c>
      <c r="C1023" t="str">
        <f>MID(A1023,B1023+1,LEN(A1023)-B1023)</f>
        <v>http://ott.mobaibox.com/PLTV/4/224/3221228677/index.m3u8</v>
      </c>
      <c r="D1023" t="str">
        <f>LEFT(A1023,B1023-1)</f>
        <v>CCTV文化精品</v>
      </c>
    </row>
    <row r="1024" spans="1:4" x14ac:dyDescent="0.25">
      <c r="A1024" t="s">
        <v>1818</v>
      </c>
      <c r="B1024">
        <f>FIND(",",A1024)</f>
        <v>9</v>
      </c>
      <c r="C1024" t="str">
        <f>MID(A1024,B1024+1,LEN(A1024)-B1024)</f>
        <v>http://ott.mobaibox.com/PLTV/4/224/3221228678/index.m3u8</v>
      </c>
      <c r="D1024" t="str">
        <f>LEFT(A1024,B1024-1)</f>
        <v>电视剧-8678</v>
      </c>
    </row>
    <row r="1025" spans="1:4" x14ac:dyDescent="0.25">
      <c r="A1025" t="s">
        <v>1627</v>
      </c>
      <c r="B1025">
        <f>FIND(",",A1025)</f>
        <v>8</v>
      </c>
      <c r="C1025" t="str">
        <f>MID(A1025,B1025+1,LEN(A1025)-B1025)</f>
        <v>http://ott.mobaibox.com/PLTV/4/224/3221228679/index.m3u8</v>
      </c>
      <c r="D1025" t="str">
        <f>LEFT(A1025,B1025-1)</f>
        <v>睛彩竞技-4K</v>
      </c>
    </row>
    <row r="1026" spans="1:4" x14ac:dyDescent="0.25">
      <c r="A1026" t="s">
        <v>1437</v>
      </c>
      <c r="B1026">
        <f>FIND(",",A1026)</f>
        <v>9</v>
      </c>
      <c r="C1026" t="str">
        <f>MID(A1026,B1026+1,LEN(A1026)-B1026)</f>
        <v>http://ott.mobaibox.com/PLTV/4/224/3221228680/index.m3u8</v>
      </c>
      <c r="D1026" t="str">
        <f>LEFT(A1026,B1026-1)</f>
        <v>CCTV世界地理</v>
      </c>
    </row>
    <row r="1027" spans="1:4" x14ac:dyDescent="0.25">
      <c r="A1027" t="s">
        <v>1625</v>
      </c>
      <c r="B1027">
        <f>FIND(",",A1027)</f>
        <v>8</v>
      </c>
      <c r="C1027" t="str">
        <f>MID(A1027,B1027+1,LEN(A1027)-B1027)</f>
        <v>http://ott.mobaibox.com/PLTV/4/224/3221228682/index.m3u8</v>
      </c>
      <c r="D1027" t="str">
        <f>LEFT(A1027,B1027-1)</f>
        <v>睛彩篮球-4K</v>
      </c>
    </row>
    <row r="1028" spans="1:4" x14ac:dyDescent="0.25">
      <c r="A1028" t="s">
        <v>1429</v>
      </c>
      <c r="B1028">
        <f>FIND(",",A1028)</f>
        <v>9</v>
      </c>
      <c r="C1028" t="str">
        <f>MID(A1028,B1028+1,LEN(A1028)-B1028)</f>
        <v>http://ott.mobaibox.com/PLTV/4/224/3221228683/index.m3u8</v>
      </c>
      <c r="D1028" t="str">
        <f>LEFT(A1028,B1028-1)</f>
        <v>CCTV央视台球</v>
      </c>
    </row>
    <row r="1029" spans="1:4" x14ac:dyDescent="0.25">
      <c r="A1029" t="s">
        <v>1794</v>
      </c>
      <c r="B1029">
        <f>FIND(",",A1029)</f>
        <v>8</v>
      </c>
      <c r="C1029" t="str">
        <f>MID(A1029,B1029+1,LEN(A1029)-B1029)</f>
        <v>http://ott.mobaibox.com/PLTV/4/224/3221228685/index.m3u8</v>
      </c>
      <c r="D1029" t="str">
        <f>LEFT(A1029,B1029-1)</f>
        <v>电影-8685</v>
      </c>
    </row>
    <row r="1030" spans="1:4" x14ac:dyDescent="0.25">
      <c r="A1030" t="s">
        <v>1438</v>
      </c>
      <c r="B1030">
        <f>FIND(",",A1030)</f>
        <v>9</v>
      </c>
      <c r="C1030" t="str">
        <f>MID(A1030,B1030+1,LEN(A1030)-B1030)</f>
        <v>http://ott.mobaibox.com/PLTV/4/224/3221228686/index.m3u8</v>
      </c>
      <c r="D1030" t="str">
        <f>LEFT(A1030,B1030-1)</f>
        <v>CCTV兵器科技</v>
      </c>
    </row>
    <row r="1031" spans="1:4" x14ac:dyDescent="0.25">
      <c r="A1031" t="s">
        <v>1819</v>
      </c>
      <c r="B1031">
        <f>FIND(",",A1031)</f>
        <v>9</v>
      </c>
      <c r="C1031" t="str">
        <f>MID(A1031,B1031+1,LEN(A1031)-B1031)</f>
        <v>http://ott.mobaibox.com/PLTV/4/224/3221228687/index.m3u8</v>
      </c>
      <c r="D1031" t="str">
        <f>LEFT(A1031,B1031-1)</f>
        <v>电视剧-8687</v>
      </c>
    </row>
    <row r="1032" spans="1:4" x14ac:dyDescent="0.25">
      <c r="A1032" t="s">
        <v>1439</v>
      </c>
      <c r="B1032">
        <f>FIND(",",A1032)</f>
        <v>9</v>
      </c>
      <c r="C1032" t="str">
        <f>MID(A1032,B1032+1,LEN(A1032)-B1032)</f>
        <v>http://ott.mobaibox.com/PLTV/4/224/3221228689/index.m3u8</v>
      </c>
      <c r="D1032" t="str">
        <f>LEFT(A1032,B1032-1)</f>
        <v>CCTV电视指南</v>
      </c>
    </row>
    <row r="1033" spans="1:4" x14ac:dyDescent="0.25">
      <c r="A1033" t="s">
        <v>1820</v>
      </c>
      <c r="B1033">
        <f>FIND(",",A1033)</f>
        <v>9</v>
      </c>
      <c r="C1033" t="str">
        <f>MID(A1033,B1033+1,LEN(A1033)-B1033)</f>
        <v>http://ott.mobaibox.com/PLTV/4/224/3221228690/index.m3u8</v>
      </c>
      <c r="D1033" t="str">
        <f>LEFT(A1033,B1033-1)</f>
        <v>电视剧-8690</v>
      </c>
    </row>
    <row r="1034" spans="1:4" x14ac:dyDescent="0.25">
      <c r="A1034" t="s">
        <v>1440</v>
      </c>
      <c r="B1034">
        <f>FIND(",",A1034)</f>
        <v>9</v>
      </c>
      <c r="C1034" t="str">
        <f>MID(A1034,B1034+1,LEN(A1034)-B1034)</f>
        <v>http://ott.mobaibox.com/PLTV/4/224/3221228692/index.m3u8</v>
      </c>
      <c r="D1034" t="str">
        <f>LEFT(A1034,B1034-1)</f>
        <v>CETV早期教育</v>
      </c>
    </row>
    <row r="1035" spans="1:4" x14ac:dyDescent="0.25">
      <c r="A1035" t="s">
        <v>1821</v>
      </c>
      <c r="B1035">
        <f>FIND(",",A1035)</f>
        <v>9</v>
      </c>
      <c r="C1035" t="str">
        <f>MID(A1035,B1035+1,LEN(A1035)-B1035)</f>
        <v>http://ott.mobaibox.com/PLTV/4/224/3221228693/index.m3u8</v>
      </c>
      <c r="D1035" t="str">
        <f>LEFT(A1035,B1035-1)</f>
        <v>电视剧-8693</v>
      </c>
    </row>
    <row r="1036" spans="1:4" x14ac:dyDescent="0.25">
      <c r="A1036" t="s">
        <v>1822</v>
      </c>
      <c r="B1036">
        <f>FIND(",",A1036)</f>
        <v>9</v>
      </c>
      <c r="C1036" t="str">
        <f>MID(A1036,B1036+1,LEN(A1036)-B1036)</f>
        <v>http://ott.mobaibox.com/PLTV/4/224/3221228697/index.m3u8</v>
      </c>
      <c r="D1036" t="str">
        <f>LEFT(A1036,B1036-1)</f>
        <v>电视剧-8697</v>
      </c>
    </row>
    <row r="1037" spans="1:4" x14ac:dyDescent="0.25">
      <c r="A1037" t="s">
        <v>1823</v>
      </c>
      <c r="B1037">
        <f>FIND(",",A1037)</f>
        <v>9</v>
      </c>
      <c r="C1037" t="str">
        <f>MID(A1037,B1037+1,LEN(A1037)-B1037)</f>
        <v>http://ott.mobaibox.com/PLTV/4/224/3221228699/index.m3u8</v>
      </c>
      <c r="D1037" t="str">
        <f>LEFT(A1037,B1037-1)</f>
        <v>电视剧-8699</v>
      </c>
    </row>
    <row r="1038" spans="1:4" x14ac:dyDescent="0.25">
      <c r="A1038" t="s">
        <v>1848</v>
      </c>
      <c r="B1038">
        <f>FIND(",",A1038)</f>
        <v>8</v>
      </c>
      <c r="C1038" t="str">
        <f>MID(A1038,B1038+1,LEN(A1038)-B1038)</f>
        <v>http://ott.mobaibox.com/PLTV/4/224/3221228700/index.m3u8</v>
      </c>
      <c r="D1038" t="str">
        <f>LEFT(A1038,B1038-1)</f>
        <v>记录-8700</v>
      </c>
    </row>
    <row r="1039" spans="1:4" x14ac:dyDescent="0.25">
      <c r="A1039" t="s">
        <v>1824</v>
      </c>
      <c r="B1039">
        <f>FIND(",",A1039)</f>
        <v>9</v>
      </c>
      <c r="C1039" t="str">
        <f>MID(A1039,B1039+1,LEN(A1039)-B1039)</f>
        <v>http://ott.mobaibox.com/PLTV/4/224/3221228702/index.m3u8</v>
      </c>
      <c r="D1039" t="str">
        <f>LEFT(A1039,B1039-1)</f>
        <v>电视剧-8702</v>
      </c>
    </row>
    <row r="1040" spans="1:4" x14ac:dyDescent="0.25">
      <c r="A1040" t="s">
        <v>1854</v>
      </c>
      <c r="B1040">
        <f>FIND(",",A1040)</f>
        <v>8</v>
      </c>
      <c r="C1040" t="str">
        <f>MID(A1040,B1040+1,LEN(A1040)-B1040)</f>
        <v>http://ott.mobaibox.com/PLTV/4/224/3221228703/index.m3u8</v>
      </c>
      <c r="D1040" t="str">
        <f>LEFT(A1040,B1040-1)</f>
        <v>美妆-8703</v>
      </c>
    </row>
    <row r="1041" spans="1:4" x14ac:dyDescent="0.25">
      <c r="A1041" t="s">
        <v>1825</v>
      </c>
      <c r="B1041">
        <f>FIND(",",A1041)</f>
        <v>9</v>
      </c>
      <c r="C1041" t="str">
        <f>MID(A1041,B1041+1,LEN(A1041)-B1041)</f>
        <v>http://ott.mobaibox.com/PLTV/4/224/3221228705/index.m3u8</v>
      </c>
      <c r="D1041" t="str">
        <f>LEFT(A1041,B1041-1)</f>
        <v>电视剧-8705</v>
      </c>
    </row>
    <row r="1042" spans="1:4" x14ac:dyDescent="0.25">
      <c r="A1042" t="s">
        <v>1787</v>
      </c>
      <c r="B1042">
        <f>FIND(",",A1042)</f>
        <v>8</v>
      </c>
      <c r="C1042" t="str">
        <f>MID(A1042,B1042+1,LEN(A1042)-B1042)</f>
        <v>http://ott.mobaibox.com/PLTV/4/224/3221228706/index.m3u8</v>
      </c>
      <c r="D1042" t="str">
        <f>LEFT(A1042,B1042-1)</f>
        <v>健身-8706</v>
      </c>
    </row>
    <row r="1043" spans="1:4" x14ac:dyDescent="0.25">
      <c r="A1043" t="s">
        <v>2068</v>
      </c>
      <c r="B1043">
        <f>FIND(",",A1043)</f>
        <v>9</v>
      </c>
      <c r="C1043" t="str">
        <f>MID(A1043,B1043+1,LEN(A1043)-B1043)</f>
        <v>http://ott.mobaibox.com/PLTV/4/224/3221228708/index.m3u8</v>
      </c>
      <c r="D1043" t="str">
        <f>LEFT(A1043,B1043-1)</f>
        <v>电视剧-8708</v>
      </c>
    </row>
    <row r="1044" spans="1:4" x14ac:dyDescent="0.25">
      <c r="A1044" t="s">
        <v>1874</v>
      </c>
      <c r="B1044">
        <f>FIND(",",A1044)</f>
        <v>9</v>
      </c>
      <c r="C1044" t="str">
        <f>MID(A1044,B1044+1,LEN(A1044)-B1044)</f>
        <v>http://ott.mobaibox.com/PLTV/4/224/3221228709/index.m3u8</v>
      </c>
      <c r="D1044" t="str">
        <f>LEFT(A1044,B1044-1)</f>
        <v>南京夹江大桥直播</v>
      </c>
    </row>
    <row r="1045" spans="1:4" x14ac:dyDescent="0.25">
      <c r="A1045" t="s">
        <v>1826</v>
      </c>
      <c r="B1045">
        <f>FIND(",",A1045)</f>
        <v>9</v>
      </c>
      <c r="C1045" t="str">
        <f>MID(A1045,B1045+1,LEN(A1045)-B1045)</f>
        <v>http://ott.mobaibox.com/PLTV/4/224/3221228710/index.m3u8</v>
      </c>
      <c r="D1045" t="str">
        <f>LEFT(A1045,B1045-1)</f>
        <v>电视剧-8710</v>
      </c>
    </row>
    <row r="1046" spans="1:4" x14ac:dyDescent="0.25">
      <c r="A1046" t="s">
        <v>1827</v>
      </c>
      <c r="B1046">
        <f>FIND(",",A1046)</f>
        <v>9</v>
      </c>
      <c r="C1046" t="str">
        <f>MID(A1046,B1046+1,LEN(A1046)-B1046)</f>
        <v>http://ott.mobaibox.com/PLTV/4/224/3221228711/index.m3u8</v>
      </c>
      <c r="D1046" t="str">
        <f>LEFT(A1046,B1046-1)</f>
        <v>电视剧-8711</v>
      </c>
    </row>
    <row r="1047" spans="1:4" x14ac:dyDescent="0.25">
      <c r="A1047" t="s">
        <v>2446</v>
      </c>
      <c r="B1047">
        <f>FIND(",",A1047)</f>
        <v>8</v>
      </c>
      <c r="C1047" t="str">
        <f>MID(A1047,B1047+1,LEN(A1047)-B1047)</f>
        <v>http://ott.mobaibox.com/PLTV/4/224/3221228712/index.m3u8</v>
      </c>
      <c r="D1047" t="str">
        <f>LEFT(A1047,B1047-1)</f>
        <v>南京新街口直播</v>
      </c>
    </row>
    <row r="1048" spans="1:4" x14ac:dyDescent="0.25">
      <c r="A1048" t="s">
        <v>1630</v>
      </c>
      <c r="B1048">
        <f>FIND(",",A1048)</f>
        <v>5</v>
      </c>
      <c r="C1048" t="str">
        <f>MID(A1048,B1048+1,LEN(A1048)-B1048)</f>
        <v>http://ott.mobaibox.com/PLTV/4/224/3221228713/index.m3u8</v>
      </c>
      <c r="D1048" t="str">
        <f>LEFT(A1048,B1048-1)</f>
        <v>咪咕体育</v>
      </c>
    </row>
    <row r="1049" spans="1:4" x14ac:dyDescent="0.25">
      <c r="A1049" t="s">
        <v>1795</v>
      </c>
      <c r="B1049">
        <f>FIND(",",A1049)</f>
        <v>8</v>
      </c>
      <c r="C1049" t="str">
        <f>MID(A1049,B1049+1,LEN(A1049)-B1049)</f>
        <v>http://ott.mobaibox.com/PLTV/4/224/3221228714/index.m3u8</v>
      </c>
      <c r="D1049" t="str">
        <f>LEFT(A1049,B1049-1)</f>
        <v>电影-8714</v>
      </c>
    </row>
    <row r="1050" spans="1:4" x14ac:dyDescent="0.25">
      <c r="A1050" t="s">
        <v>2447</v>
      </c>
      <c r="B1050">
        <f>FIND(",",A1050)</f>
        <v>7</v>
      </c>
      <c r="C1050" t="str">
        <f>MID(A1050,B1050+1,LEN(A1050)-B1050)</f>
        <v>http://ott.mobaibox.com/PLTV/4/224/3221228715/index.m3u8</v>
      </c>
      <c r="D1050" t="str">
        <f>LEFT(A1050,B1050-1)</f>
        <v>南京南站直播</v>
      </c>
    </row>
    <row r="1051" spans="1:4" x14ac:dyDescent="0.25">
      <c r="A1051" t="s">
        <v>1828</v>
      </c>
      <c r="B1051">
        <f>FIND(",",A1051)</f>
        <v>9</v>
      </c>
      <c r="C1051" t="str">
        <f>MID(A1051,B1051+1,LEN(A1051)-B1051)</f>
        <v>http://ott.mobaibox.com/PLTV/4/224/3221228716/index.m3u8</v>
      </c>
      <c r="D1051" t="str">
        <f>LEFT(A1051,B1051-1)</f>
        <v>电视剧-8716</v>
      </c>
    </row>
    <row r="1052" spans="1:4" x14ac:dyDescent="0.25">
      <c r="A1052" t="s">
        <v>1849</v>
      </c>
      <c r="B1052">
        <f>FIND(",",A1052)</f>
        <v>8</v>
      </c>
      <c r="C1052" t="str">
        <f>MID(A1052,B1052+1,LEN(A1052)-B1052)</f>
        <v>http://ott.mobaibox.com/PLTV/4/224/3221228717/index.m3u8</v>
      </c>
      <c r="D1052" t="str">
        <f>LEFT(A1052,B1052-1)</f>
        <v>记录-8717</v>
      </c>
    </row>
    <row r="1053" spans="1:4" x14ac:dyDescent="0.25">
      <c r="A1053" t="s">
        <v>1829</v>
      </c>
      <c r="B1053">
        <f>FIND(",",A1053)</f>
        <v>9</v>
      </c>
      <c r="C1053" t="str">
        <f>MID(A1053,B1053+1,LEN(A1053)-B1053)</f>
        <v>http://ott.mobaibox.com/PLTV/4/224/3221228719/index.m3u8</v>
      </c>
      <c r="D1053" t="str">
        <f>LEFT(A1053,B1053-1)</f>
        <v>电视剧-8719</v>
      </c>
    </row>
    <row r="1054" spans="1:4" x14ac:dyDescent="0.25">
      <c r="A1054" t="s">
        <v>1855</v>
      </c>
      <c r="B1054">
        <f>FIND(",",A1054)</f>
        <v>10</v>
      </c>
      <c r="C1054" t="str">
        <f>MID(A1054,B1054+1,LEN(A1054)-B1054)</f>
        <v>http://ott.mobaibox.com/PLTV/4/224/3221228720/index.m3u8</v>
      </c>
      <c r="D1054" t="str">
        <f>LEFT(A1054,B1054-1)</f>
        <v>农业致富-8720</v>
      </c>
    </row>
    <row r="1055" spans="1:4" x14ac:dyDescent="0.25">
      <c r="A1055" t="s">
        <v>1850</v>
      </c>
      <c r="B1055">
        <f>FIND(",",A1055)</f>
        <v>8</v>
      </c>
      <c r="C1055" t="str">
        <f>MID(A1055,B1055+1,LEN(A1055)-B1055)</f>
        <v>http://ott.mobaibox.com/PLTV/4/224/3221228723/index.m3u8</v>
      </c>
      <c r="D1055" t="str">
        <f>LEFT(A1055,B1055-1)</f>
        <v>记录-8723</v>
      </c>
    </row>
    <row r="1056" spans="1:4" x14ac:dyDescent="0.25">
      <c r="A1056" t="s">
        <v>1830</v>
      </c>
      <c r="B1056">
        <f>FIND(",",A1056)</f>
        <v>9</v>
      </c>
      <c r="C1056" t="str">
        <f>MID(A1056,B1056+1,LEN(A1056)-B1056)</f>
        <v>http://ott.mobaibox.com/PLTV/4/224/3221228724/index.m3u8</v>
      </c>
      <c r="D1056" t="str">
        <f>LEFT(A1056,B1056-1)</f>
        <v>电视剧-8724</v>
      </c>
    </row>
    <row r="1057" spans="1:4" x14ac:dyDescent="0.25">
      <c r="A1057" t="s">
        <v>1831</v>
      </c>
      <c r="B1057">
        <f>FIND(",",A1057)</f>
        <v>9</v>
      </c>
      <c r="C1057" t="str">
        <f>MID(A1057,B1057+1,LEN(A1057)-B1057)</f>
        <v>http://ott.mobaibox.com/PLTV/4/224/3221228725/index.m3u8</v>
      </c>
      <c r="D1057" t="str">
        <f>LEFT(A1057,B1057-1)</f>
        <v>电视剧-8725</v>
      </c>
    </row>
    <row r="1058" spans="1:4" x14ac:dyDescent="0.25">
      <c r="A1058" t="s">
        <v>1783</v>
      </c>
      <c r="B1058">
        <f>FIND(",",A1058)</f>
        <v>8</v>
      </c>
      <c r="C1058" t="str">
        <f>MID(A1058,B1058+1,LEN(A1058)-B1058)</f>
        <v>http://ott.mobaibox.com/PLTV/4/224/3221228726/index.m3u8</v>
      </c>
      <c r="D1058" t="str">
        <f>LEFT(A1058,B1058-1)</f>
        <v>体育-8726</v>
      </c>
    </row>
    <row r="1059" spans="1:4" x14ac:dyDescent="0.25">
      <c r="A1059" t="s">
        <v>1697</v>
      </c>
      <c r="B1059">
        <f>FIND(",",A1059)</f>
        <v>5</v>
      </c>
      <c r="C1059" t="str">
        <f>MID(A1059,B1059+1,LEN(A1059)-B1059)</f>
        <v>http://ott.mobaibox.com/PLTV/4/224/3221228728/index.m3u8</v>
      </c>
      <c r="D1059" t="str">
        <f>LEFT(A1059,B1059-1)</f>
        <v>江苏影视</v>
      </c>
    </row>
    <row r="1060" spans="1:4" x14ac:dyDescent="0.25">
      <c r="A1060" t="s">
        <v>1622</v>
      </c>
      <c r="B1060">
        <f>FIND(",",A1060)</f>
        <v>5</v>
      </c>
      <c r="C1060" t="str">
        <f>MID(A1060,B1060+1,LEN(A1060)-B1060)</f>
        <v>http://ott.mobaibox.com/PLTV/4/224/3221228729/index.m3u8</v>
      </c>
      <c r="D1060" t="str">
        <f>LEFT(A1060,B1060-1)</f>
        <v>睛彩青少</v>
      </c>
    </row>
    <row r="1061" spans="1:4" x14ac:dyDescent="0.25">
      <c r="A1061" t="s">
        <v>1699</v>
      </c>
      <c r="B1061">
        <f>FIND(",",A1061)</f>
        <v>5</v>
      </c>
      <c r="C1061" t="str">
        <f>MID(A1061,B1061+1,LEN(A1061)-B1061)</f>
        <v>http://ott.mobaibox.com/PLTV/4/224/3221228731/index.m3u8</v>
      </c>
      <c r="D1061" t="str">
        <f>LEFT(A1061,B1061-1)</f>
        <v>江苏综艺</v>
      </c>
    </row>
    <row r="1062" spans="1:4" x14ac:dyDescent="0.25">
      <c r="A1062" t="s">
        <v>1288</v>
      </c>
      <c r="B1062">
        <f>FIND(",",A1062)</f>
        <v>9</v>
      </c>
      <c r="C1062" t="str">
        <f>MID(A1062,B1062+1,LEN(A1062)-B1062)</f>
        <v>http://ott.mobaibox.com/PLTV/4/224/3221228732/index.m3u8</v>
      </c>
      <c r="D1062" t="str">
        <f>LEFT(A1062,B1062-1)</f>
        <v>CCTV1-4K</v>
      </c>
    </row>
    <row r="1063" spans="1:4" x14ac:dyDescent="0.25">
      <c r="A1063" t="s">
        <v>1701</v>
      </c>
      <c r="B1063">
        <f>FIND(",",A1063)</f>
        <v>5</v>
      </c>
      <c r="C1063" t="str">
        <f>MID(A1063,B1063+1,LEN(A1063)-B1063)</f>
        <v>http://ott.mobaibox.com/PLTV/4/224/3221228734/index.m3u8</v>
      </c>
      <c r="D1063" t="str">
        <f>LEFT(A1063,B1063-1)</f>
        <v>江苏城市</v>
      </c>
    </row>
    <row r="1064" spans="1:4" x14ac:dyDescent="0.25">
      <c r="A1064" t="s">
        <v>1666</v>
      </c>
      <c r="B1064">
        <f>FIND(",",A1064)</f>
        <v>8</v>
      </c>
      <c r="C1064" t="str">
        <f>MID(A1064,B1064+1,LEN(A1064)-B1064)</f>
        <v>http://ott.mobaibox.com/PLTV/4/224/3221228735/index.m3u8</v>
      </c>
      <c r="D1064" t="str">
        <f>LEFT(A1064,B1064-1)</f>
        <v>苏超-8735</v>
      </c>
    </row>
    <row r="1065" spans="1:4" x14ac:dyDescent="0.25">
      <c r="A1065" t="s">
        <v>1784</v>
      </c>
      <c r="B1065">
        <f>FIND(",",A1065)</f>
        <v>8</v>
      </c>
      <c r="C1065" t="str">
        <f>MID(A1065,B1065+1,LEN(A1065)-B1065)</f>
        <v>http://ott.mobaibox.com/PLTV/4/224/3221228737/index.m3u8</v>
      </c>
      <c r="D1065" t="str">
        <f>LEFT(A1065,B1065-1)</f>
        <v>体育-8737</v>
      </c>
    </row>
    <row r="1066" spans="1:4" x14ac:dyDescent="0.25">
      <c r="A1066" t="s">
        <v>1667</v>
      </c>
      <c r="B1066">
        <f>FIND(",",A1066)</f>
        <v>8</v>
      </c>
      <c r="C1066" t="str">
        <f>MID(A1066,B1066+1,LEN(A1066)-B1066)</f>
        <v>http://ott.mobaibox.com/PLTV/4/224/3221228738/index.m3u8</v>
      </c>
      <c r="D1066" t="str">
        <f>LEFT(A1066,B1066-1)</f>
        <v>苏超-8738</v>
      </c>
    </row>
    <row r="1067" spans="1:4" x14ac:dyDescent="0.25">
      <c r="A1067" t="s">
        <v>1796</v>
      </c>
      <c r="B1067">
        <f>FIND(",",A1067)</f>
        <v>8</v>
      </c>
      <c r="C1067" t="str">
        <f>MID(A1067,B1067+1,LEN(A1067)-B1067)</f>
        <v>http://ott.mobaibox.com/PLTV/4/224/3221228740/index.m3u8</v>
      </c>
      <c r="D1067" t="str">
        <f>LEFT(A1067,B1067-1)</f>
        <v>电影-8740</v>
      </c>
    </row>
    <row r="1068" spans="1:4" x14ac:dyDescent="0.25">
      <c r="A1068" t="s">
        <v>1668</v>
      </c>
      <c r="B1068">
        <f>FIND(",",A1068)</f>
        <v>8</v>
      </c>
      <c r="C1068" t="str">
        <f>MID(A1068,B1068+1,LEN(A1068)-B1068)</f>
        <v>http://ott.mobaibox.com/PLTV/4/224/3221228741/index.m3u8</v>
      </c>
      <c r="D1068" t="str">
        <f>LEFT(A1068,B1068-1)</f>
        <v>苏超-8741</v>
      </c>
    </row>
    <row r="1069" spans="1:4" x14ac:dyDescent="0.25">
      <c r="A1069" t="s">
        <v>1702</v>
      </c>
      <c r="B1069">
        <f>FIND(",",A1069)</f>
        <v>5</v>
      </c>
      <c r="C1069" t="str">
        <f>MID(A1069,B1069+1,LEN(A1069)-B1069)</f>
        <v>http://ott.mobaibox.com/PLTV/4/224/3221228743/index.m3u8</v>
      </c>
      <c r="D1069" t="str">
        <f>LEFT(A1069,B1069-1)</f>
        <v>江苏新闻</v>
      </c>
    </row>
    <row r="1070" spans="1:4" x14ac:dyDescent="0.25">
      <c r="A1070" t="s">
        <v>1866</v>
      </c>
      <c r="B1070">
        <f>FIND(",",A1070)</f>
        <v>5</v>
      </c>
      <c r="C1070" t="str">
        <f>MID(A1070,B1070+1,LEN(A1070)-B1070)</f>
        <v>http://ott.mobaibox.com/PLTV/4/224/3221228744/index.m3u8</v>
      </c>
      <c r="D1070" t="str">
        <f>LEFT(A1070,B1070-1)</f>
        <v>8744</v>
      </c>
    </row>
    <row r="1071" spans="1:4" x14ac:dyDescent="0.25">
      <c r="A1071" t="s">
        <v>1706</v>
      </c>
      <c r="B1071">
        <f>FIND(",",A1071)</f>
        <v>5</v>
      </c>
      <c r="C1071" t="str">
        <f>MID(A1071,B1071+1,LEN(A1071)-B1071)</f>
        <v>http://ott.mobaibox.com/PLTV/4/224/3221228746/index.m3u8</v>
      </c>
      <c r="D1071" t="str">
        <f>LEFT(A1071,B1071-1)</f>
        <v>江苏体育</v>
      </c>
    </row>
    <row r="1072" spans="1:4" x14ac:dyDescent="0.25">
      <c r="A1072" t="s">
        <v>1669</v>
      </c>
      <c r="B1072">
        <f>FIND(",",A1072)</f>
        <v>8</v>
      </c>
      <c r="C1072" t="str">
        <f>MID(A1072,B1072+1,LEN(A1072)-B1072)</f>
        <v>http://ott.mobaibox.com/PLTV/4/224/3221228747/index.m3u8</v>
      </c>
      <c r="D1072" t="str">
        <f>LEFT(A1072,B1072-1)</f>
        <v>苏超-8747</v>
      </c>
    </row>
    <row r="1073" spans="1:4" x14ac:dyDescent="0.25">
      <c r="A1073" t="s">
        <v>1562</v>
      </c>
      <c r="B1073">
        <f>FIND(",",A1073)</f>
        <v>5</v>
      </c>
      <c r="C1073" t="str">
        <f>MID(A1073,B1073+1,LEN(A1073)-B1073)</f>
        <v>http://ott.mobaibox.com/PLTV/4/224/3221228749/index.m3u8</v>
      </c>
      <c r="D1073" t="str">
        <f>LEFT(A1073,B1073-1)</f>
        <v>江西卫视</v>
      </c>
    </row>
    <row r="1074" spans="1:4" x14ac:dyDescent="0.25">
      <c r="A1074" t="s">
        <v>1670</v>
      </c>
      <c r="B1074">
        <f>FIND(",",A1074)</f>
        <v>8</v>
      </c>
      <c r="C1074" t="str">
        <f>MID(A1074,B1074+1,LEN(A1074)-B1074)</f>
        <v>http://ott.mobaibox.com/PLTV/4/224/3221228750/index.m3u8</v>
      </c>
      <c r="D1074" t="str">
        <f>LEFT(A1074,B1074-1)</f>
        <v>苏超-8750</v>
      </c>
    </row>
    <row r="1075" spans="1:4" x14ac:dyDescent="0.25">
      <c r="A1075" t="s">
        <v>1535</v>
      </c>
      <c r="B1075">
        <f>FIND(",",A1075)</f>
        <v>5</v>
      </c>
      <c r="C1075" t="str">
        <f>MID(A1075,B1075+1,LEN(A1075)-B1075)</f>
        <v>http://ott.mobaibox.com/PLTV/4/224/3221228752/index.m3u8</v>
      </c>
      <c r="D1075" t="str">
        <f>LEFT(A1075,B1075-1)</f>
        <v>河北卫视</v>
      </c>
    </row>
    <row r="1076" spans="1:4" x14ac:dyDescent="0.25">
      <c r="A1076" t="s">
        <v>2448</v>
      </c>
      <c r="B1076">
        <f>FIND(",",A1076)</f>
        <v>8</v>
      </c>
      <c r="C1076" t="str">
        <f>MID(A1076,B1076+1,LEN(A1076)-B1076)</f>
        <v>http://ott.mobaibox.com/PLTV/4/224/3221228753/index.m3u8</v>
      </c>
      <c r="D1076" t="str">
        <f>LEFT(A1076,B1076-1)</f>
        <v>南京音乐台直播</v>
      </c>
    </row>
    <row r="1077" spans="1:4" x14ac:dyDescent="0.25">
      <c r="A1077" t="s">
        <v>1558</v>
      </c>
      <c r="B1077">
        <f>FIND(",",A1077)</f>
        <v>5</v>
      </c>
      <c r="C1077" t="str">
        <f>MID(A1077,B1077+1,LEN(A1077)-B1077)</f>
        <v>http://ott.mobaibox.com/PLTV/4/224/3221228755/index.m3u8</v>
      </c>
      <c r="D1077" t="str">
        <f>LEFT(A1077,B1077-1)</f>
        <v>纪实科教</v>
      </c>
    </row>
    <row r="1078" spans="1:4" x14ac:dyDescent="0.25">
      <c r="A1078" t="s">
        <v>1832</v>
      </c>
      <c r="B1078">
        <f>FIND(",",A1078)</f>
        <v>9</v>
      </c>
      <c r="C1078" t="str">
        <f>MID(A1078,B1078+1,LEN(A1078)-B1078)</f>
        <v>http://ott.mobaibox.com/PLTV/4/224/3221228756/index.m3u8</v>
      </c>
      <c r="D1078" t="str">
        <f>LEFT(A1078,B1078-1)</f>
        <v>电视剧-8756</v>
      </c>
    </row>
    <row r="1079" spans="1:4" x14ac:dyDescent="0.25">
      <c r="A1079" t="s">
        <v>1380</v>
      </c>
      <c r="B1079">
        <f>FIND(",",A1079)</f>
        <v>6</v>
      </c>
      <c r="C1079" t="str">
        <f>MID(A1079,B1079+1,LEN(A1079)-B1079)</f>
        <v>http://ott.mobaibox.com/PLTV/4/224/3221228758/index.m3u8</v>
      </c>
      <c r="D1079" t="str">
        <f>LEFT(A1079,B1079-1)</f>
        <v>CCTV9</v>
      </c>
    </row>
    <row r="1080" spans="1:4" x14ac:dyDescent="0.25">
      <c r="A1080" t="s">
        <v>1386</v>
      </c>
      <c r="B1080">
        <f>FIND(",",A1080)</f>
        <v>7</v>
      </c>
      <c r="C1080" t="str">
        <f>MID(A1080,B1080+1,LEN(A1080)-B1080)</f>
        <v>http://ott.mobaibox.com/PLTV/4/224/3221228761/index.m3u8</v>
      </c>
      <c r="D1080" t="str">
        <f>LEFT(A1080,B1080-1)</f>
        <v>CCTV10</v>
      </c>
    </row>
    <row r="1081" spans="1:4" x14ac:dyDescent="0.25">
      <c r="A1081" t="s">
        <v>1460</v>
      </c>
      <c r="B1081">
        <f>FIND(",",A1081)</f>
        <v>5</v>
      </c>
      <c r="C1081" t="str">
        <f>MID(A1081,B1081+1,LEN(A1081)-B1081)</f>
        <v>http://ott.mobaibox.com/PLTV/4/224/3221228764/index.m3u8</v>
      </c>
      <c r="D1081" t="str">
        <f>LEFT(A1081,B1081-1)</f>
        <v>江苏卫视</v>
      </c>
    </row>
    <row r="1082" spans="1:4" x14ac:dyDescent="0.25">
      <c r="A1082" t="s">
        <v>1461</v>
      </c>
      <c r="B1082">
        <f>FIND(",",A1082)</f>
        <v>5</v>
      </c>
      <c r="C1082" t="str">
        <f>MID(A1082,B1082+1,LEN(A1082)-B1082)</f>
        <v>http://ott.mobaibox.com/PLTV/4/224/3221228767/index.m3u8</v>
      </c>
      <c r="D1082" t="str">
        <f>LEFT(A1082,B1082-1)</f>
        <v>江苏卫视</v>
      </c>
    </row>
    <row r="1083" spans="1:4" x14ac:dyDescent="0.25">
      <c r="A1083" t="s">
        <v>1462</v>
      </c>
      <c r="B1083">
        <f>FIND(",",A1083)</f>
        <v>5</v>
      </c>
      <c r="C1083" t="str">
        <f>MID(A1083,B1083+1,LEN(A1083)-B1083)</f>
        <v>http://ott.mobaibox.com/PLTV/4/224/3221228770/index.m3u8</v>
      </c>
      <c r="D1083" t="str">
        <f>LEFT(A1083,B1083-1)</f>
        <v>江苏卫视</v>
      </c>
    </row>
    <row r="1084" spans="1:4" x14ac:dyDescent="0.25">
      <c r="A1084" t="s">
        <v>1833</v>
      </c>
      <c r="B1084">
        <f>FIND(",",A1084)</f>
        <v>9</v>
      </c>
      <c r="C1084" t="str">
        <f>MID(A1084,B1084+1,LEN(A1084)-B1084)</f>
        <v>http://ott.mobaibox.com/PLTV/4/224/3221228779/index.m3u8</v>
      </c>
      <c r="D1084" t="str">
        <f>LEFT(A1084,B1084-1)</f>
        <v>电视剧-8779</v>
      </c>
    </row>
    <row r="1085" spans="1:4" x14ac:dyDescent="0.25">
      <c r="A1085" t="s">
        <v>1834</v>
      </c>
      <c r="B1085">
        <f>FIND(",",A1085)</f>
        <v>9</v>
      </c>
      <c r="C1085" t="str">
        <f>MID(A1085,B1085+1,LEN(A1085)-B1085)</f>
        <v>http://ott.mobaibox.com/PLTV/4/224/3221228782/index.m3u8</v>
      </c>
      <c r="D1085" t="str">
        <f>LEFT(A1085,B1085-1)</f>
        <v>电视剧-8782</v>
      </c>
    </row>
    <row r="1086" spans="1:4" x14ac:dyDescent="0.25">
      <c r="A1086" t="s">
        <v>1835</v>
      </c>
      <c r="B1086">
        <f>FIND(",",A1086)</f>
        <v>9</v>
      </c>
      <c r="C1086" t="str">
        <f>MID(A1086,B1086+1,LEN(A1086)-B1086)</f>
        <v>http://ott.mobaibox.com/PLTV/4/224/3221228785/index.m3u8</v>
      </c>
      <c r="D1086" t="str">
        <f>LEFT(A1086,B1086-1)</f>
        <v>电视剧-8785</v>
      </c>
    </row>
    <row r="1087" spans="1:4" x14ac:dyDescent="0.25">
      <c r="A1087" t="s">
        <v>1836</v>
      </c>
      <c r="B1087">
        <f>FIND(",",A1087)</f>
        <v>9</v>
      </c>
      <c r="C1087" t="str">
        <f>MID(A1087,B1087+1,LEN(A1087)-B1087)</f>
        <v>http://ott.mobaibox.com/PLTV/4/224/3221228788/index.m3u8</v>
      </c>
      <c r="D1087" t="str">
        <f>LEFT(A1087,B1087-1)</f>
        <v>电视剧-8788</v>
      </c>
    </row>
    <row r="1088" spans="1:4" x14ac:dyDescent="0.25">
      <c r="A1088" t="s">
        <v>1837</v>
      </c>
      <c r="B1088">
        <f>FIND(",",A1088)</f>
        <v>9</v>
      </c>
      <c r="C1088" t="str">
        <f>MID(A1088,B1088+1,LEN(A1088)-B1088)</f>
        <v>http://ott.mobaibox.com/PLTV/4/224/3221228791/index.m3u8</v>
      </c>
      <c r="D1088" t="str">
        <f>LEFT(A1088,B1088-1)</f>
        <v>电视剧-8791</v>
      </c>
    </row>
    <row r="1089" spans="1:4" x14ac:dyDescent="0.25">
      <c r="A1089" t="s">
        <v>1632</v>
      </c>
      <c r="B1089">
        <f>FIND(",",A1089)</f>
        <v>7</v>
      </c>
      <c r="C1089" t="str">
        <f>MID(A1089,B1089+1,LEN(A1089)-B1089)</f>
        <v>http://ott.mobaibox.com/PLTV/4/224/3221228794/index.m3u8</v>
      </c>
      <c r="D1089" t="str">
        <f>LEFT(A1089,B1089-1)</f>
        <v>咪咕音乐-2</v>
      </c>
    </row>
    <row r="1090" spans="1:4" x14ac:dyDescent="0.25">
      <c r="A1090" t="s">
        <v>1838</v>
      </c>
      <c r="B1090">
        <f>FIND(",",A1090)</f>
        <v>9</v>
      </c>
      <c r="C1090" t="str">
        <f>MID(A1090,B1090+1,LEN(A1090)-B1090)</f>
        <v>http://ott.mobaibox.com/PLTV/4/224/3221228797/index.m3u8</v>
      </c>
      <c r="D1090" t="str">
        <f>LEFT(A1090,B1090-1)</f>
        <v>电视剧-8797</v>
      </c>
    </row>
    <row r="1091" spans="1:4" x14ac:dyDescent="0.25">
      <c r="A1091" t="s">
        <v>1671</v>
      </c>
      <c r="B1091">
        <f>FIND(",",A1091)</f>
        <v>8</v>
      </c>
      <c r="C1091" t="str">
        <f>MID(A1091,B1091+1,LEN(A1091)-B1091)</f>
        <v>http://ott.mobaibox.com/PLTV/4/224/3221228803/index.m3u8</v>
      </c>
      <c r="D1091" t="str">
        <f>LEFT(A1091,B1091-1)</f>
        <v>苏超-8803</v>
      </c>
    </row>
    <row r="1092" spans="1:4" x14ac:dyDescent="0.25">
      <c r="A1092" t="s">
        <v>1948</v>
      </c>
      <c r="B1092">
        <f>FIND(",",A1092)</f>
        <v>8</v>
      </c>
      <c r="C1092" t="str">
        <f>MID(A1092,B1092+1,LEN(A1092)-B1092)</f>
        <v>http://ott.mobaibox.com/PLTV/4/224/3221228805/index.m3u8</v>
      </c>
      <c r="D1092" t="str">
        <f>LEFT(A1092,B1092-1)</f>
        <v>广播-8805</v>
      </c>
    </row>
    <row r="1093" spans="1:4" x14ac:dyDescent="0.25">
      <c r="A1093" t="s">
        <v>2449</v>
      </c>
      <c r="B1093">
        <f>FIND(",",A1093)</f>
        <v>8</v>
      </c>
      <c r="C1093" t="str">
        <f>MID(A1093,B1093+1,LEN(A1093)-B1093)</f>
        <v>http://ott.mobaibox.com/PLTV/4/224/3221228806/index.m3u8</v>
      </c>
      <c r="D1093" t="str">
        <f>LEFT(A1093,B1093-1)</f>
        <v>南京北级阁直播</v>
      </c>
    </row>
    <row r="1094" spans="1:4" x14ac:dyDescent="0.25">
      <c r="A1094" t="s">
        <v>1852</v>
      </c>
      <c r="B1094">
        <f>FIND(",",A1094)</f>
        <v>8</v>
      </c>
      <c r="C1094" t="str">
        <f>MID(A1094,B1094+1,LEN(A1094)-B1094)</f>
        <v>http://ott.mobaibox.com/PLTV/4/224/3221228808/index.m3u8</v>
      </c>
      <c r="D1094" t="str">
        <f>LEFT(A1094,B1094-1)</f>
        <v>棋牌-8808</v>
      </c>
    </row>
    <row r="1095" spans="1:4" x14ac:dyDescent="0.25">
      <c r="A1095" t="s">
        <v>1839</v>
      </c>
      <c r="B1095">
        <f>FIND(",",A1095)</f>
        <v>9</v>
      </c>
      <c r="C1095" t="str">
        <f>MID(A1095,B1095+1,LEN(A1095)-B1095)</f>
        <v>http://ott.mobaibox.com/PLTV/4/224/3221228809/index.m3u8</v>
      </c>
      <c r="D1095" t="str">
        <f>LEFT(A1095,B1095-1)</f>
        <v>电视剧-8809</v>
      </c>
    </row>
    <row r="1096" spans="1:4" x14ac:dyDescent="0.25">
      <c r="A1096" t="s">
        <v>1441</v>
      </c>
      <c r="B1096">
        <f>FIND(",",A1096)</f>
        <v>5</v>
      </c>
      <c r="C1096" t="str">
        <f>MID(A1096,B1096+1,LEN(A1096)-B1096)</f>
        <v>http://ott.mobaibox.com/PLTV/4/224/3221228811/index.m3u8</v>
      </c>
      <c r="D1096" t="str">
        <f>LEFT(A1096,B1096-1)</f>
        <v>CGTN</v>
      </c>
    </row>
    <row r="1097" spans="1:4" x14ac:dyDescent="0.25">
      <c r="A1097" t="s">
        <v>1768</v>
      </c>
      <c r="B1097">
        <f>FIND(",",A1097)</f>
        <v>5</v>
      </c>
      <c r="C1097" t="str">
        <f>MID(A1097,B1097+1,LEN(A1097)-B1097)</f>
        <v>http://ott.mobaibox.com/PLTV/4/224/3221228812/index.m3u8</v>
      </c>
      <c r="D1097" t="str">
        <f>LEFT(A1097,B1097-1)</f>
        <v>沭阳综合</v>
      </c>
    </row>
    <row r="1098" spans="1:4" x14ac:dyDescent="0.25">
      <c r="A1098" t="s">
        <v>1770</v>
      </c>
      <c r="B1098">
        <f>FIND(",",A1098)</f>
        <v>8</v>
      </c>
      <c r="C1098" t="str">
        <f>MID(A1098,B1098+1,LEN(A1098)-B1098)</f>
        <v>http://ott.mobaibox.com/PLTV/4/224/3221228815/index.m3u8</v>
      </c>
      <c r="D1098" t="str">
        <f>LEFT(A1098,B1098-1)</f>
        <v>音乐-8815</v>
      </c>
    </row>
    <row r="1099" spans="1:4" x14ac:dyDescent="0.25">
      <c r="A1099" t="s">
        <v>1497</v>
      </c>
      <c r="B1099">
        <f>FIND(",",A1099)</f>
        <v>7</v>
      </c>
      <c r="C1099" t="str">
        <f>MID(A1099,B1099+1,LEN(A1099)-B1099)</f>
        <v>http://ott.mobaibox.com/PLTV/4/224/3221228817/index.m3u8</v>
      </c>
      <c r="D1099" t="str">
        <f>LEFT(A1099,B1099-1)</f>
        <v>北京卫视4K</v>
      </c>
    </row>
    <row r="1100" spans="1:4" x14ac:dyDescent="0.25">
      <c r="A1100" t="s">
        <v>1629</v>
      </c>
      <c r="B1100">
        <f>FIND(",",A1100)</f>
        <v>6</v>
      </c>
      <c r="C1100" t="str">
        <f>MID(A1100,B1100+1,LEN(A1100)-B1100)</f>
        <v>http://ott.mobaibox.com/PLTV/4/224/3221228818/index.m3u8</v>
      </c>
      <c r="D1100" t="str">
        <f>LEFT(A1100,B1100-1)</f>
        <v>睛彩广场舞</v>
      </c>
    </row>
    <row r="1101" spans="1:4" x14ac:dyDescent="0.25">
      <c r="A1101" t="s">
        <v>1713</v>
      </c>
      <c r="B1101">
        <f>FIND(",",A1101)</f>
        <v>7</v>
      </c>
      <c r="C1101" t="str">
        <f>MID(A1101,B1101+1,LEN(A1101)-B1101)</f>
        <v>http://ott.mobaibox.com/PLTV/4/224/3221228820/index.m3u8</v>
      </c>
      <c r="D1101" t="str">
        <f>LEFT(A1101,B1101-1)</f>
        <v>昆山新闻综合</v>
      </c>
    </row>
    <row r="1102" spans="1:4" x14ac:dyDescent="0.25">
      <c r="A1102" t="s">
        <v>1840</v>
      </c>
      <c r="B1102">
        <f>FIND(",",A1102)</f>
        <v>9</v>
      </c>
      <c r="C1102" t="str">
        <f>MID(A1102,B1102+1,LEN(A1102)-B1102)</f>
        <v>http://ott.mobaibox.com/PLTV/4/224/3221228823/index.m3u8</v>
      </c>
      <c r="D1102" t="str">
        <f>LEFT(A1102,B1102-1)</f>
        <v>电视剧-8823</v>
      </c>
    </row>
    <row r="1103" spans="1:4" x14ac:dyDescent="0.25">
      <c r="A1103" t="s">
        <v>1882</v>
      </c>
      <c r="B1103">
        <f>FIND(",",A1103)</f>
        <v>8</v>
      </c>
      <c r="C1103" t="str">
        <f>MID(A1103,B1103+1,LEN(A1103)-B1103)</f>
        <v>http://ott.mobaibox.com/PLTV/4/224/3221228826/index.m3u8</v>
      </c>
      <c r="D1103" t="str">
        <f>LEFT(A1103,B1103-1)</f>
        <v>购物-8826</v>
      </c>
    </row>
    <row r="1104" spans="1:4" x14ac:dyDescent="0.25">
      <c r="A1104" t="s">
        <v>1883</v>
      </c>
      <c r="B1104">
        <f>FIND(",",A1104)</f>
        <v>8</v>
      </c>
      <c r="C1104" t="str">
        <f>MID(A1104,B1104+1,LEN(A1104)-B1104)</f>
        <v>http://ott.mobaibox.com/PLTV/4/224/3221228829/index.m3u8</v>
      </c>
      <c r="D1104" t="str">
        <f>LEFT(A1104,B1104-1)</f>
        <v>购物-8829</v>
      </c>
    </row>
    <row r="1105" spans="1:4" x14ac:dyDescent="0.25">
      <c r="A1105" t="s">
        <v>1760</v>
      </c>
      <c r="B1105">
        <f>FIND(",",A1105)</f>
        <v>5</v>
      </c>
      <c r="C1105" t="str">
        <f>MID(A1105,B1105+1,LEN(A1105)-B1105)</f>
        <v>http://ott.mobaibox.com/PLTV/4/224/3221228834/index.m3u8</v>
      </c>
      <c r="D1105" t="str">
        <f>LEFT(A1105,B1105-1)</f>
        <v>淮安综合</v>
      </c>
    </row>
    <row r="1106" spans="1:4" x14ac:dyDescent="0.25">
      <c r="A1106" t="s">
        <v>1598</v>
      </c>
      <c r="B1106">
        <f>FIND(",",A1106)</f>
        <v>7</v>
      </c>
      <c r="C1106" t="str">
        <f>MID(A1106,B1106+1,LEN(A1106)-B1106)</f>
        <v>http://ott.mobaibox.com/PLTV/4/224/3221228835/index.m3u8</v>
      </c>
      <c r="D1106" t="str">
        <f>LEFT(A1106,B1106-1)</f>
        <v>深圳卫视4K</v>
      </c>
    </row>
    <row r="1107" spans="1:4" x14ac:dyDescent="0.25">
      <c r="A1107" t="s">
        <v>1761</v>
      </c>
      <c r="B1107">
        <f>FIND(",",A1107)</f>
        <v>5</v>
      </c>
      <c r="C1107" t="str">
        <f>MID(A1107,B1107+1,LEN(A1107)-B1107)</f>
        <v>http://ott.mobaibox.com/PLTV/4/224/3221228837/index.m3u8</v>
      </c>
      <c r="D1107" t="str">
        <f>LEFT(A1107,B1107-1)</f>
        <v>淮安影视</v>
      </c>
    </row>
    <row r="1108" spans="1:4" x14ac:dyDescent="0.25">
      <c r="A1108" t="s">
        <v>1525</v>
      </c>
      <c r="B1108">
        <f>FIND(",",A1108)</f>
        <v>7</v>
      </c>
      <c r="C1108" t="str">
        <f>MID(A1108,B1108+1,LEN(A1108)-B1108)</f>
        <v>http://ott.mobaibox.com/PLTV/4/224/3221228838/index.m3u8</v>
      </c>
      <c r="D1108" t="str">
        <f>LEFT(A1108,B1108-1)</f>
        <v>广东卫视4K</v>
      </c>
    </row>
    <row r="1109" spans="1:4" x14ac:dyDescent="0.25">
      <c r="A1109" t="s">
        <v>1762</v>
      </c>
      <c r="B1109">
        <f>FIND(",",A1109)</f>
        <v>5</v>
      </c>
      <c r="C1109" t="str">
        <f>MID(A1109,B1109+1,LEN(A1109)-B1109)</f>
        <v>http://ott.mobaibox.com/PLTV/4/224/3221228840/index.m3u8</v>
      </c>
      <c r="D1109" t="str">
        <f>LEFT(A1109,B1109-1)</f>
        <v>淮安公共</v>
      </c>
    </row>
    <row r="1110" spans="1:4" x14ac:dyDescent="0.25">
      <c r="A1110" t="s">
        <v>1884</v>
      </c>
      <c r="B1110">
        <f>FIND(",",A1110)</f>
        <v>8</v>
      </c>
      <c r="C1110" t="str">
        <f>MID(A1110,B1110+1,LEN(A1110)-B1110)</f>
        <v>http://ott.mobaibox.com/PLTV/4/224/3221228841/index.m3u8</v>
      </c>
      <c r="D1110" t="str">
        <f>LEFT(A1110,B1110-1)</f>
        <v>购物-8841</v>
      </c>
    </row>
    <row r="1111" spans="1:4" x14ac:dyDescent="0.25">
      <c r="A1111" t="s">
        <v>1872</v>
      </c>
      <c r="B1111">
        <f>FIND(",",A1111)</f>
        <v>5</v>
      </c>
      <c r="C1111" t="str">
        <f>MID(A1111,B1111+1,LEN(A1111)-B1111)</f>
        <v>http://ott.mobaibox.com/PLTV/4/224/3221228843/index.m3u8</v>
      </c>
      <c r="D1111" t="str">
        <f>LEFT(A1111,B1111-1)</f>
        <v>8843</v>
      </c>
    </row>
    <row r="1112" spans="1:4" x14ac:dyDescent="0.25">
      <c r="A1112" t="s">
        <v>1299</v>
      </c>
      <c r="B1112">
        <f>FIND(",",A1112)</f>
        <v>6</v>
      </c>
      <c r="C1112" t="str">
        <f>MID(A1112,B1112+1,LEN(A1112)-B1112)</f>
        <v>http://ott.mobaibox.com/PLTV/4/224/3221228844/index.m3u8</v>
      </c>
      <c r="D1112" t="str">
        <f>LEFT(A1112,B1112-1)</f>
        <v>CCTV2</v>
      </c>
    </row>
    <row r="1113" spans="1:4" x14ac:dyDescent="0.25">
      <c r="A1113" t="s">
        <v>1723</v>
      </c>
      <c r="B1113">
        <f>FIND(",",A1113)</f>
        <v>3</v>
      </c>
      <c r="C1113" t="str">
        <f>MID(A1113,B1113+1,LEN(A1113)-B1113)</f>
        <v>http://ott.mobaibox.com/PLTV/4/224/3221228846/index.m3u8</v>
      </c>
      <c r="D1113" t="str">
        <f>LEFT(A1113,B1113-1)</f>
        <v>金坛</v>
      </c>
    </row>
    <row r="1114" spans="1:4" x14ac:dyDescent="0.25">
      <c r="A1114" t="s">
        <v>1763</v>
      </c>
      <c r="B1114">
        <f>FIND(",",A1114)</f>
        <v>5</v>
      </c>
      <c r="C1114" t="str">
        <f>MID(A1114,B1114+1,LEN(A1114)-B1114)</f>
        <v>http://ott.mobaibox.com/PLTV/4/224/3221228847/index.m3u8</v>
      </c>
      <c r="D1114" t="str">
        <f>LEFT(A1114,B1114-1)</f>
        <v>盱眙综合</v>
      </c>
    </row>
    <row r="1115" spans="1:4" x14ac:dyDescent="0.25">
      <c r="A1115" t="s">
        <v>1885</v>
      </c>
      <c r="B1115">
        <f>FIND(",",A1115)</f>
        <v>8</v>
      </c>
      <c r="C1115" t="str">
        <f>MID(A1115,B1115+1,LEN(A1115)-B1115)</f>
        <v>http://ott.mobaibox.com/PLTV/4/224/3221228849/index.m3u8</v>
      </c>
      <c r="D1115" t="str">
        <f>LEFT(A1115,B1115-1)</f>
        <v>购物-8849</v>
      </c>
    </row>
    <row r="1116" spans="1:4" x14ac:dyDescent="0.25">
      <c r="A1116" t="s">
        <v>2018</v>
      </c>
      <c r="B1116">
        <f>FIND(",",A1116)</f>
        <v>8</v>
      </c>
      <c r="C1116" t="str">
        <f>MID(A1116,B1116+1,LEN(A1116)-B1116)</f>
        <v>http://ott.mobaibox.com/PLTV/4/224/3221228850/index.m3u8</v>
      </c>
      <c r="D1116" t="str">
        <f>LEFT(A1116,B1116-1)</f>
        <v>苏超-8850</v>
      </c>
    </row>
    <row r="1117" spans="1:4" x14ac:dyDescent="0.25">
      <c r="A1117" t="s">
        <v>1886</v>
      </c>
      <c r="B1117">
        <f>FIND(",",A1117)</f>
        <v>8</v>
      </c>
      <c r="C1117" t="str">
        <f>MID(A1117,B1117+1,LEN(A1117)-B1117)</f>
        <v>http://ott.mobaibox.com/PLTV/4/224/3221228852/index.m3u8</v>
      </c>
      <c r="D1117" t="str">
        <f>LEFT(A1117,B1117-1)</f>
        <v>购物-8852</v>
      </c>
    </row>
    <row r="1118" spans="1:4" x14ac:dyDescent="0.25">
      <c r="A1118" t="s">
        <v>1715</v>
      </c>
      <c r="B1118">
        <f>FIND(",",A1118)</f>
        <v>7</v>
      </c>
      <c r="C1118" t="str">
        <f>MID(A1118,B1118+1,LEN(A1118)-B1118)</f>
        <v>http://ott.mobaibox.com/PLTV/4/224/3221228853/index.m3u8</v>
      </c>
      <c r="D1118" t="str">
        <f>LEFT(A1118,B1118-1)</f>
        <v>无锡新闻综合</v>
      </c>
    </row>
    <row r="1119" spans="1:4" x14ac:dyDescent="0.25">
      <c r="A1119" t="s">
        <v>1887</v>
      </c>
      <c r="B1119">
        <f>FIND(",",A1119)</f>
        <v>8</v>
      </c>
      <c r="C1119" t="str">
        <f>MID(A1119,B1119+1,LEN(A1119)-B1119)</f>
        <v>http://ott.mobaibox.com/PLTV/4/224/3221228855/index.m3u8</v>
      </c>
      <c r="D1119" t="str">
        <f>LEFT(A1119,B1119-1)</f>
        <v>购物-8855</v>
      </c>
    </row>
    <row r="1120" spans="1:4" x14ac:dyDescent="0.25">
      <c r="A1120" t="s">
        <v>1463</v>
      </c>
      <c r="B1120">
        <f>FIND(",",A1120)</f>
        <v>8</v>
      </c>
      <c r="C1120" t="str">
        <f>MID(A1120,B1120+1,LEN(A1120)-B1120)</f>
        <v>http://ott.mobaibox.com/PLTV/4/224/3221228861/index.m3u8</v>
      </c>
      <c r="D1120" t="str">
        <f>LEFT(A1120,B1120-1)</f>
        <v>江苏卫视-4K</v>
      </c>
    </row>
    <row r="1121" spans="1:4" x14ac:dyDescent="0.25">
      <c r="A1121" t="s">
        <v>2019</v>
      </c>
      <c r="B1121">
        <f>FIND(",",A1121)</f>
        <v>8</v>
      </c>
      <c r="C1121" t="str">
        <f>MID(A1121,B1121+1,LEN(A1121)-B1121)</f>
        <v>http://ott.mobaibox.com/PLTV/4/224/3221228864/index.m3u8</v>
      </c>
      <c r="D1121" t="str">
        <f>LEFT(A1121,B1121-1)</f>
        <v>苏超-8864</v>
      </c>
    </row>
    <row r="1122" spans="1:4" x14ac:dyDescent="0.25">
      <c r="A1122" t="s">
        <v>2020</v>
      </c>
      <c r="B1122">
        <f>FIND(",",A1122)</f>
        <v>8</v>
      </c>
      <c r="C1122" t="str">
        <f>MID(A1122,B1122+1,LEN(A1122)-B1122)</f>
        <v>http://ott.mobaibox.com/PLTV/4/224/3221228867/index.m3u8</v>
      </c>
      <c r="D1122" t="str">
        <f>LEFT(A1122,B1122-1)</f>
        <v>苏超-8867</v>
      </c>
    </row>
    <row r="1123" spans="1:4" x14ac:dyDescent="0.25">
      <c r="A1123" t="s">
        <v>1587</v>
      </c>
      <c r="B1123">
        <f>FIND(",",A1123)</f>
        <v>5</v>
      </c>
      <c r="C1123" t="str">
        <f>MID(A1123,B1123+1,LEN(A1123)-B1123)</f>
        <v>http://ott.mobaibox.com/PLTV/4/224/3221228870/index.m3u8</v>
      </c>
      <c r="D1123" t="str">
        <f>LEFT(A1123,B1123-1)</f>
        <v>山西卫视</v>
      </c>
    </row>
    <row r="1124" spans="1:4" x14ac:dyDescent="0.25">
      <c r="A1124" t="s">
        <v>1891</v>
      </c>
      <c r="B1124">
        <f>FIND(",",A1124)</f>
        <v>7</v>
      </c>
      <c r="C1124" t="str">
        <f>MID(A1124,B1124+1,LEN(A1124)-B1124)</f>
        <v>http://ott.mobaibox.com/PLTV/4/224/3221228873/index.m3u8</v>
      </c>
      <c r="D1124" t="str">
        <f>LEFT(A1124,B1124-1)</f>
        <v>央广网-4K</v>
      </c>
    </row>
    <row r="1125" spans="1:4" x14ac:dyDescent="0.25">
      <c r="A1125" t="s">
        <v>1888</v>
      </c>
      <c r="B1125">
        <f>FIND(",",A1125)</f>
        <v>8</v>
      </c>
      <c r="C1125" t="str">
        <f>MID(A1125,B1125+1,LEN(A1125)-B1125)</f>
        <v>http://ott.mobaibox.com/PLTV/4/224/3221228887/index.m3u8</v>
      </c>
      <c r="D1125" t="str">
        <f>LEFT(A1125,B1125-1)</f>
        <v>购物-8887</v>
      </c>
    </row>
    <row r="1126" spans="1:4" x14ac:dyDescent="0.25">
      <c r="A1126" t="s">
        <v>1498</v>
      </c>
      <c r="B1126">
        <f>FIND(",",A1126)</f>
        <v>7</v>
      </c>
      <c r="C1126" t="str">
        <f>MID(A1126,B1126+1,LEN(A1126)-B1126)</f>
        <v>http://ott.mobaibox.com/PLTV/4/224/3221228890/index.m3u8</v>
      </c>
      <c r="D1126" t="str">
        <f>LEFT(A1126,B1126-1)</f>
        <v>北京卫视4K</v>
      </c>
    </row>
    <row r="1127" spans="1:4" x14ac:dyDescent="0.25">
      <c r="A1127" t="s">
        <v>1841</v>
      </c>
      <c r="B1127">
        <f>FIND(",",A1127)</f>
        <v>9</v>
      </c>
      <c r="C1127" t="str">
        <f>MID(A1127,B1127+1,LEN(A1127)-B1127)</f>
        <v>http://ott.mobaibox.com/PLTV/4/224/3221228893/index.m3u8</v>
      </c>
      <c r="D1127" t="str">
        <f>LEFT(A1127,B1127-1)</f>
        <v>电视剧-8893</v>
      </c>
    </row>
    <row r="1128" spans="1:4" x14ac:dyDescent="0.25">
      <c r="A1128" t="s">
        <v>1842</v>
      </c>
      <c r="B1128">
        <f>FIND(",",A1128)</f>
        <v>9</v>
      </c>
      <c r="C1128" t="str">
        <f>MID(A1128,B1128+1,LEN(A1128)-B1128)</f>
        <v>http://ott.mobaibox.com/PLTV/4/224/3221228896/index.m3u8</v>
      </c>
      <c r="D1128" t="str">
        <f>LEFT(A1128,B1128-1)</f>
        <v>电视剧-8896</v>
      </c>
    </row>
    <row r="1129" spans="1:4" x14ac:dyDescent="0.25">
      <c r="A1129" t="s">
        <v>1978</v>
      </c>
      <c r="B1129">
        <f>FIND(",",A1129)</f>
        <v>7</v>
      </c>
      <c r="C1129" t="str">
        <f>MID(A1129,B1129+1,LEN(A1129)-B1129)</f>
        <v>http://ott.mobaibox.com/PLTV/4/224/3221228897/index.m3u8</v>
      </c>
      <c r="D1129" t="str">
        <f>LEFT(A1129,B1129-1)</f>
        <v>江苏卫视4K</v>
      </c>
    </row>
    <row r="1130" spans="1:4" x14ac:dyDescent="0.25">
      <c r="A1130" t="s">
        <v>1843</v>
      </c>
      <c r="B1130">
        <f>FIND(",",A1130)</f>
        <v>9</v>
      </c>
      <c r="C1130" t="str">
        <f>MID(A1130,B1130+1,LEN(A1130)-B1130)</f>
        <v>http://ott.mobaibox.com/PLTV/4/224/3221228899/index.m3u8</v>
      </c>
      <c r="D1130" t="str">
        <f>LEFT(A1130,B1130-1)</f>
        <v>电视剧-8899</v>
      </c>
    </row>
    <row r="1131" spans="1:4" x14ac:dyDescent="0.25">
      <c r="A1131" t="s">
        <v>2021</v>
      </c>
      <c r="B1131">
        <f>FIND(",",A1131)</f>
        <v>8</v>
      </c>
      <c r="C1131" t="str">
        <f>MID(A1131,B1131+1,LEN(A1131)-B1131)</f>
        <v>http://ott.mobaibox.com/PLTV/4/224/3221228902/index.m3u8</v>
      </c>
      <c r="D1131" t="str">
        <f>LEFT(A1131,B1131-1)</f>
        <v>苏超-8902</v>
      </c>
    </row>
    <row r="1132" spans="1:4" x14ac:dyDescent="0.25">
      <c r="A1132" t="s">
        <v>2022</v>
      </c>
      <c r="B1132">
        <f>FIND(",",A1132)</f>
        <v>8</v>
      </c>
      <c r="C1132" t="str">
        <f>MID(A1132,B1132+1,LEN(A1132)-B1132)</f>
        <v>http://ott.mobaibox.com/PLTV/4/224/3221228905/index.m3u8</v>
      </c>
      <c r="D1132" t="str">
        <f>LEFT(A1132,B1132-1)</f>
        <v>苏超-8905</v>
      </c>
    </row>
    <row r="1133" spans="1:4" x14ac:dyDescent="0.25">
      <c r="A1133" t="s">
        <v>2023</v>
      </c>
      <c r="B1133">
        <f>FIND(",",A1133)</f>
        <v>8</v>
      </c>
      <c r="C1133" t="str">
        <f>MID(A1133,B1133+1,LEN(A1133)-B1133)</f>
        <v>http://ott.mobaibox.com/PLTV/4/224/3221228908/index.m3u8</v>
      </c>
      <c r="D1133" t="str">
        <f>LEFT(A1133,B1133-1)</f>
        <v>苏超-8908</v>
      </c>
    </row>
    <row r="1134" spans="1:4" x14ac:dyDescent="0.25">
      <c r="A1134" t="s">
        <v>1844</v>
      </c>
      <c r="B1134">
        <f>FIND(",",A1134)</f>
        <v>9</v>
      </c>
      <c r="C1134" t="str">
        <f>MID(A1134,B1134+1,LEN(A1134)-B1134)</f>
        <v>http://ott.mobaibox.com/PLTV/4/224/3221228911/index.m3u8</v>
      </c>
      <c r="D1134" t="str">
        <f>LEFT(A1134,B1134-1)</f>
        <v>电视剧-8911</v>
      </c>
    </row>
    <row r="1135" spans="1:4" x14ac:dyDescent="0.25">
      <c r="A1135" t="s">
        <v>1716</v>
      </c>
      <c r="B1135">
        <f>FIND(",",A1135)</f>
        <v>7</v>
      </c>
      <c r="C1135" t="str">
        <f>MID(A1135,B1135+1,LEN(A1135)-B1135)</f>
        <v>http://ott.mobaibox.com/PLTV/4/224/3221228914/index.m3u8</v>
      </c>
      <c r="D1135" t="str">
        <f>LEFT(A1135,B1135-1)</f>
        <v>无锡都市资讯</v>
      </c>
    </row>
    <row r="1136" spans="1:4" x14ac:dyDescent="0.25">
      <c r="A1136" t="s">
        <v>1889</v>
      </c>
      <c r="B1136">
        <f>FIND(",",A1136)</f>
        <v>4</v>
      </c>
      <c r="C1136" t="str">
        <f>MID(A1136,B1136+1,LEN(A1136)-B1136)</f>
        <v>http://ott.mobaibox.com/PLTV/4/224/3221228917/index.m3u8</v>
      </c>
      <c r="D1136" t="str">
        <f>LEFT(A1136,B1136-1)</f>
        <v>茶频道</v>
      </c>
    </row>
    <row r="1137" spans="1:4" x14ac:dyDescent="0.25">
      <c r="A1137" t="s">
        <v>1890</v>
      </c>
      <c r="B1137">
        <f>FIND(",",A1137)</f>
        <v>4</v>
      </c>
      <c r="C1137" t="str">
        <f>MID(A1137,B1137+1,LEN(A1137)-B1137)</f>
        <v>http://ott.mobaibox.com/PLTV/4/224/3221228920/index.m3u8</v>
      </c>
      <c r="D1137" t="str">
        <f>LEFT(A1137,B1137-1)</f>
        <v>央广网</v>
      </c>
    </row>
    <row r="1138" spans="1:4" x14ac:dyDescent="0.25">
      <c r="A1138" t="s">
        <v>2074</v>
      </c>
      <c r="B1138">
        <f>FIND(",",A1138)</f>
        <v>8</v>
      </c>
      <c r="C1138" t="str">
        <f>MID(A1138,B1138+1,LEN(A1138)-B1138)</f>
        <v>http://play1-qk.nmtv.cn/live/1686560387346365.m3u8</v>
      </c>
      <c r="D1138" t="str">
        <f>LEFT(A1138,B1138-1)</f>
        <v>内蒙古蒙语卫视</v>
      </c>
    </row>
    <row r="1139" spans="1:4" x14ac:dyDescent="0.25">
      <c r="A1139" t="s">
        <v>2070</v>
      </c>
      <c r="B1139">
        <f>FIND(",",A1139)</f>
        <v>8</v>
      </c>
      <c r="C1139" t="str">
        <f>MID(A1139,B1139+1,LEN(A1139)-B1139)</f>
        <v>http://play1-qk.nmtv.cn/live/1686560423879174.m3u8</v>
      </c>
      <c r="D1139" t="str">
        <f>LEFT(A1139,B1139-1)</f>
        <v>内蒙古新闻综合</v>
      </c>
    </row>
    <row r="1140" spans="1:4" x14ac:dyDescent="0.25">
      <c r="A1140" t="s">
        <v>2071</v>
      </c>
      <c r="B1140">
        <f>FIND(",",A1140)</f>
        <v>6</v>
      </c>
      <c r="C1140" t="str">
        <f>MID(A1140,B1140+1,LEN(A1140)-B1140)</f>
        <v>http://play1-qk.nmtv.cn/live/1686560464515368.m3u8</v>
      </c>
      <c r="D1140" t="str">
        <f>LEFT(A1140,B1140-1)</f>
        <v>内蒙古少儿</v>
      </c>
    </row>
    <row r="1141" spans="1:4" x14ac:dyDescent="0.25">
      <c r="A1141" t="s">
        <v>2075</v>
      </c>
      <c r="B1141">
        <f>FIND(",",A1141)</f>
        <v>8</v>
      </c>
      <c r="C1141" t="str">
        <f>MID(A1141,B1141+1,LEN(A1141)-B1141)</f>
        <v>http://play1-qk.nmtv.cn/live/1686561065304370.m3u8</v>
      </c>
      <c r="D1141" t="str">
        <f>LEFT(A1141,B1141-1)</f>
        <v>内蒙古蒙语文化</v>
      </c>
    </row>
    <row r="1142" spans="1:4" x14ac:dyDescent="0.25">
      <c r="A1142" t="s">
        <v>2072</v>
      </c>
      <c r="B1142">
        <f>FIND(",",A1142)</f>
        <v>8</v>
      </c>
      <c r="C1142" t="str">
        <f>MID(A1142,B1142+1,LEN(A1142)-B1142)</f>
        <v>http://play1-qk.nmtv.cn/live/1686561195713372.m3u8</v>
      </c>
      <c r="D1142" t="str">
        <f>LEFT(A1142,B1142-1)</f>
        <v>内蒙古文体娱乐</v>
      </c>
    </row>
    <row r="1143" spans="1:4" x14ac:dyDescent="0.25">
      <c r="A1143" t="s">
        <v>2069</v>
      </c>
      <c r="B1143">
        <f>FIND(",",A1143)</f>
        <v>6</v>
      </c>
      <c r="C1143" t="str">
        <f>MID(A1143,B1143+1,LEN(A1143)-B1143)</f>
        <v>http://play1-qk.nmtv.cn/live/1686561299036179.m3u8</v>
      </c>
      <c r="D1143" t="str">
        <f>LEFT(A1143,B1143-1)</f>
        <v>内蒙古农牧</v>
      </c>
    </row>
    <row r="1144" spans="1:4" x14ac:dyDescent="0.25">
      <c r="A1144" t="s">
        <v>2073</v>
      </c>
      <c r="B1144">
        <f>FIND(",",A1144)</f>
        <v>8</v>
      </c>
      <c r="C1144" t="str">
        <f>MID(A1144,B1144+1,LEN(A1144)-B1144)</f>
        <v>http://play1-qk.nmtv.cn/live/1686562470947181.m3u8</v>
      </c>
      <c r="D1144" t="str">
        <f>LEFT(A1144,B1144-1)</f>
        <v>内蒙古经济生活</v>
      </c>
    </row>
    <row r="1145" spans="1:4" x14ac:dyDescent="0.25">
      <c r="A1145" t="s">
        <v>1696</v>
      </c>
      <c r="B1145">
        <f>FIND(",",A1145)</f>
        <v>5</v>
      </c>
      <c r="C1145" t="str">
        <f>MID(A1145,B1145+1,LEN(A1145)-B1145)</f>
        <v>http://rudong-tv-hls.cm.jstv.com/rudong-tv/rdxwzh.m3u8</v>
      </c>
      <c r="D1145" t="str">
        <f>LEFT(A1145,B1145-1)</f>
        <v>如东新闻</v>
      </c>
    </row>
    <row r="1146" spans="1:4" x14ac:dyDescent="0.25">
      <c r="A1146" t="s">
        <v>2064</v>
      </c>
      <c r="B1146">
        <f>FIND(",",A1146)</f>
        <v>5</v>
      </c>
      <c r="C1146" t="str">
        <f>MID(A1146,B1146+1,LEN(A1146)-B1146)</f>
        <v>http://shuyang-tv-hls.cm.jstv.com/shuyang-tv/shuyangzh.m3u8</v>
      </c>
      <c r="D1146" t="str">
        <f>LEFT(A1146,B1146-1)</f>
        <v>沭阳综合</v>
      </c>
    </row>
    <row r="1147" spans="1:4" x14ac:dyDescent="0.25">
      <c r="A1147" t="s">
        <v>2065</v>
      </c>
      <c r="B1147">
        <f>FIND(",",A1147)</f>
        <v>5</v>
      </c>
      <c r="C1147" t="str">
        <f>MID(A1147,B1147+1,LEN(A1147)-B1147)</f>
        <v>http://siyang-tv-hls.cm.jstv.com/siyang-tv/siyangzh.m3u8</v>
      </c>
      <c r="D1147" t="str">
        <f>LEFT(A1147,B1147-1)</f>
        <v>泗阳综合</v>
      </c>
    </row>
    <row r="1148" spans="1:4" x14ac:dyDescent="0.25">
      <c r="A1148" t="s">
        <v>2066</v>
      </c>
      <c r="B1148">
        <f>FIND(",",A1148)</f>
        <v>5</v>
      </c>
      <c r="C1148" t="str">
        <f>MID(A1148,B1148+1,LEN(A1148)-B1148)</f>
        <v>http://suyu-tv-hls.cm.jstv.com/suyu-tv/syzhpd.m3u8</v>
      </c>
      <c r="D1148" t="str">
        <f>LEFT(A1148,B1148-1)</f>
        <v>宿豫综合</v>
      </c>
    </row>
    <row r="1149" spans="1:4" x14ac:dyDescent="0.25">
      <c r="A1149" t="s">
        <v>2062</v>
      </c>
      <c r="B1149">
        <f>FIND(",",A1149)</f>
        <v>5</v>
      </c>
      <c r="C1149" t="str">
        <f>MID(A1149,B1149+1,LEN(A1149)-B1149)</f>
        <v>http://tylive.kan0512.com/norecord/csztv4k_4k.m3u8</v>
      </c>
      <c r="D1149" t="str">
        <f>LEFT(A1149,B1149-1)</f>
        <v>苏州4K</v>
      </c>
    </row>
  </sheetData>
  <sortState xmlns:xlrd2="http://schemas.microsoft.com/office/spreadsheetml/2017/richdata2" ref="A1:D1149">
    <sortCondition ref="C1147:C1149"/>
  </sortState>
  <phoneticPr fontId="1" type="noConversion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频道列表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zhujian ji</cp:lastModifiedBy>
  <dcterms:created xsi:type="dcterms:W3CDTF">2025-10-04T04:18:22Z</dcterms:created>
  <dcterms:modified xsi:type="dcterms:W3CDTF">2025-10-12T05:34:18Z</dcterms:modified>
</cp:coreProperties>
</file>